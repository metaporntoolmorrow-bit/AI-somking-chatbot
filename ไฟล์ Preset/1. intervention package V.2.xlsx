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พจนานุกรมรหัส" sheetId="1" state="visible" r:id="rId3"/>
    <sheet name="01_มาตรการ_MS" sheetId="2" state="visible" r:id="rId4"/>
    <sheet name="02_เครื่องมือ" sheetId="3" state="visible" r:id="rId5"/>
    <sheet name="03_เป้าหมาย_IP" sheetId="4" state="visible" r:id="rId6"/>
    <sheet name="04_สถานการณ์" sheetId="5" state="visible" r:id="rId7"/>
    <sheet name="04b_ชุดที่ตัดออก" sheetId="6" state="visible" r:id="rId8"/>
    <sheet name="05_เนื้อหาแผน" sheetId="7" state="visible" r:id="rId9"/>
    <sheet name="06_ช่องว่างและตัวเลขสรุป" sheetId="8" state="visible" r:id="rId10"/>
    <sheet name="07_ข้อมูลที่ต้องขอ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<sst xmlns="http://schemas.openxmlformats.org/spreadsheetml/2006/main" count="2298" uniqueCount="1000">
  <si>
    <t xml:space="preserve">พจนานุกรมรหัส — intervention package V.2</t>
  </si>
  <si>
    <t xml:space="preserve">รหัสมาตรการเปลี่ยนจาก M เป็น MS แล้วทั้งไฟล์ เพื่อไม่ให้ชนกับรหัส Ottawa (M1–M6) ในเอกสาร Flow v.1</t>
  </si>
  <si>
    <t xml:space="preserve">ตระกูลรหัส</t>
  </si>
  <si>
    <t xml:space="preserve">ความหมาย</t>
  </si>
  <si>
    <t xml:space="preserve">จำนวน</t>
  </si>
  <si>
    <t xml:space="preserve">ตัวอย่าง</t>
  </si>
  <si>
    <t xml:space="preserve">ใช้ในชีต</t>
  </si>
  <si>
    <t xml:space="preserve">S</t>
  </si>
  <si>
    <t xml:space="preserve">พื้นที่ดำเนินการ (ชุดของโครงการ)</t>
  </si>
  <si>
    <t xml:space="preserve">3</t>
  </si>
  <si>
    <t xml:space="preserve">S1 สถานศึกษา / S2 ชุมชน / S3 สถานประกอบการ</t>
  </si>
  <si>
    <t xml:space="preserve">03, 04</t>
  </si>
  <si>
    <t xml:space="preserve">MS</t>
  </si>
  <si>
    <t xml:space="preserve">องค์ประกอบในโมเดล IP ของ สสส.</t>
  </si>
  <si>
    <t xml:space="preserve">12</t>
  </si>
  <si>
    <t xml:space="preserve">MS4 การสอดแทรกในการเรียนการสอน</t>
  </si>
  <si>
    <t xml:space="preserve">01, 03, 05</t>
  </si>
  <si>
    <t xml:space="preserve">IP</t>
  </si>
  <si>
    <t xml:space="preserve">แพ็กเกจแผน (1 IP = 1 ไฟล์แผนที่ผู้ใช้ดาวน์โหลด)</t>
  </si>
  <si>
    <t xml:space="preserve">9</t>
  </si>
  <si>
    <t xml:space="preserve">IP-02 ห้องเรียนรู้เท่าทันบุหรี่ไฟฟ้า</t>
  </si>
  <si>
    <t xml:space="preserve">03, 04, 05, 06</t>
  </si>
  <si>
    <t xml:space="preserve">R</t>
  </si>
  <si>
    <t xml:space="preserve">บทบาทผู้ใช้ระบบ (ผู้ดำเนินการ)</t>
  </si>
  <si>
    <t xml:space="preserve">16 (จาก 24)</t>
  </si>
  <si>
    <t xml:space="preserve">R02 ครู/อาจารย์</t>
  </si>
  <si>
    <t xml:space="preserve">02, 03, 04</t>
  </si>
  <si>
    <t xml:space="preserve">G</t>
  </si>
  <si>
    <t xml:space="preserve">กลุ่มเป้าหมายปลายทาง</t>
  </si>
  <si>
    <t xml:space="preserve">10</t>
  </si>
  <si>
    <t xml:space="preserve">G03 นักเรียนมัธยม</t>
  </si>
  <si>
    <t xml:space="preserve">02, 04</t>
  </si>
  <si>
    <t xml:space="preserve">T</t>
  </si>
  <si>
    <t xml:space="preserve">เครื่องมือในคลัง</t>
  </si>
  <si>
    <t xml:space="preserve">25 (จาก 28)</t>
  </si>
  <si>
    <t xml:space="preserve">T18 บอร์ดเกม Just Say No</t>
  </si>
  <si>
    <t xml:space="preserve">02, 04, 05</t>
  </si>
  <si>
    <t xml:space="preserve">SC</t>
  </si>
  <si>
    <t xml:space="preserve">รหัสสถานการณ์ (สร้างใหม่ใน V.2)</t>
  </si>
  <si>
    <t xml:space="preserve">ดูชีต 04</t>
  </si>
  <si>
    <t xml:space="preserve">SC-001</t>
  </si>
  <si>
    <t xml:space="preserve">04</t>
  </si>
  <si>
    <t xml:space="preserve">ตารางเทียบเลขเครื่องมือ 3 ชุด</t>
  </si>
  <si>
    <t xml:space="preserve">รหัสที่ใช้จริง</t>
  </si>
  <si>
    <t xml:space="preserve">เลขในตาราง Flagship 11 พ.ค.</t>
  </si>
  <si>
    <t xml:space="preserve">เลขในแผนภาพโมเดล 23 มิ.ย.</t>
  </si>
  <si>
    <t xml:space="preserve">ชื่อเครื่องมือ</t>
  </si>
  <si>
    <t xml:space="preserve">สถานะ</t>
  </si>
  <si>
    <t xml:space="preserve">T01</t>
  </si>
  <si>
    <t xml:space="preserve">01</t>
  </si>
  <si>
    <t xml:space="preserve">1</t>
  </si>
  <si>
    <t xml:space="preserve">"7 มาตรการโรงเรียนปลอดบุหรี่" / "7 องค์ประกอบ" (อุดมศึกษา)</t>
  </si>
  <si>
    <t xml:space="preserve">ใช้งาน</t>
  </si>
  <si>
    <t xml:space="preserve">T04</t>
  </si>
  <si>
    <t xml:space="preserve">4</t>
  </si>
  <si>
    <t xml:space="preserve">คู่มือการใช้งาน Uni-Health Platform</t>
  </si>
  <si>
    <t xml:space="preserve">T05</t>
  </si>
  <si>
    <t xml:space="preserve">05</t>
  </si>
  <si>
    <t xml:space="preserve">5</t>
  </si>
  <si>
    <t xml:space="preserve">แนวปฏิบัติมาตรฐาน (SOP Harmony)</t>
  </si>
  <si>
    <t xml:space="preserve">T06</t>
  </si>
  <si>
    <t xml:space="preserve">06</t>
  </si>
  <si>
    <t xml:space="preserve">6</t>
  </si>
  <si>
    <t xml:space="preserve">แนวปฏิบัติ "เลิกบุหรี่เริ่มที่บ้าน" / "เลิกบุหรี่บ้านละคน"</t>
  </si>
  <si>
    <t xml:space="preserve">T07</t>
  </si>
  <si>
    <t xml:space="preserve">07</t>
  </si>
  <si>
    <t xml:space="preserve">7</t>
  </si>
  <si>
    <t xml:space="preserve">แนวปฏิบัติ "มัสยิดปลอดบุหรี่"</t>
  </si>
  <si>
    <t xml:space="preserve">T08</t>
  </si>
  <si>
    <t xml:space="preserve">08</t>
  </si>
  <si>
    <t xml:space="preserve">8</t>
  </si>
  <si>
    <t xml:space="preserve">คู่มือกิจกรรมบุหรี่ไฟฟ้าสำหรับครูและผู้ปกครอง</t>
  </si>
  <si>
    <t xml:space="preserve">T09</t>
  </si>
  <si>
    <t xml:space="preserve">09</t>
  </si>
  <si>
    <t xml:space="preserve">แบบทดสอบความรอบรู้ทางสุขภาพด้านการควบคุมยาสูบ</t>
  </si>
  <si>
    <t xml:space="preserve">T10</t>
  </si>
  <si>
    <t xml:space="preserve">Application TUM (Tobacco Use Monitor)</t>
  </si>
  <si>
    <t xml:space="preserve">T11</t>
  </si>
  <si>
    <t xml:space="preserve">11</t>
  </si>
  <si>
    <t xml:space="preserve">แบบสำรวจพฤติกรรมบุหรี่และบุหรี่ไฟฟ้า</t>
  </si>
  <si>
    <t xml:space="preserve">T12</t>
  </si>
  <si>
    <t xml:space="preserve">แบบประเมินความรอบรู้เรื่องบุหรี่ไฟฟ้า</t>
  </si>
  <si>
    <t xml:space="preserve">T13</t>
  </si>
  <si>
    <t xml:space="preserve">13</t>
  </si>
  <si>
    <t xml:space="preserve">แบบสอบถาม Uni-Health Platform</t>
  </si>
  <si>
    <t xml:space="preserve">T14</t>
  </si>
  <si>
    <t xml:space="preserve">14</t>
  </si>
  <si>
    <t xml:space="preserve">แบบประเมินความรู้ด้านสุขภาวะฯ สำหรับเยาวชนกลุ่มชาติพันธุ์</t>
  </si>
  <si>
    <t xml:space="preserve">T15</t>
  </si>
  <si>
    <t xml:space="preserve">15</t>
  </si>
  <si>
    <t xml:space="preserve">"7 ชุดกิจกรรม" ควบคุมการบริโภคบุหรี่และบุหรี่ไฟฟ้า</t>
  </si>
  <si>
    <t xml:space="preserve">T16</t>
  </si>
  <si>
    <t xml:space="preserve">16</t>
  </si>
  <si>
    <t xml:space="preserve">25</t>
  </si>
  <si>
    <t xml:space="preserve">Child Impact Platform</t>
  </si>
  <si>
    <t xml:space="preserve">T18</t>
  </si>
  <si>
    <t xml:space="preserve">18</t>
  </si>
  <si>
    <t xml:space="preserve">บอร์ดเกม "Just Say No"</t>
  </si>
  <si>
    <t xml:space="preserve">T19</t>
  </si>
  <si>
    <t xml:space="preserve">19</t>
  </si>
  <si>
    <t xml:space="preserve">Vape Truth Mirror</t>
  </si>
  <si>
    <t xml:space="preserve">T20</t>
  </si>
  <si>
    <t xml:space="preserve">20</t>
  </si>
  <si>
    <t xml:space="preserve">สื่อรณรงค์บุหรี่ไฟฟ้า และเผยแพร่ช่องทางเลิกบุหรี่ไฟฟ้า</t>
  </si>
  <si>
    <t xml:space="preserve">T21</t>
  </si>
  <si>
    <t xml:space="preserve">21</t>
  </si>
  <si>
    <t xml:space="preserve">ชุดเครื่องมือ ความรู้ จากสำนักเชิงประเด็นและเชิงพื้นที่</t>
  </si>
  <si>
    <t xml:space="preserve">T22</t>
  </si>
  <si>
    <t xml:space="preserve">22</t>
  </si>
  <si>
    <t xml:space="preserve">ชุดสื่อสร้างความตระหนักรู้</t>
  </si>
  <si>
    <t xml:space="preserve">T23</t>
  </si>
  <si>
    <t xml:space="preserve">23</t>
  </si>
  <si>
    <t xml:space="preserve">ชุดนิทรรศการเคลื่อนที่ "รู้ทันกลลวงบุหรี่ไฟฟ้า"</t>
  </si>
  <si>
    <t xml:space="preserve">T24</t>
  </si>
  <si>
    <t xml:space="preserve">24</t>
  </si>
  <si>
    <t xml:space="preserve">แผนการจัดการเรียนรู้เตือนภัยบุหรี่ไฟฟ้า สำหรับครู ศพด.</t>
  </si>
  <si>
    <t xml:space="preserve">T25</t>
  </si>
  <si>
    <t xml:space="preserve">26</t>
  </si>
  <si>
    <t xml:space="preserve">Report Card Tobacco Control</t>
  </si>
  <si>
    <t xml:space="preserve">T26</t>
  </si>
  <si>
    <t xml:space="preserve">27</t>
  </si>
  <si>
    <t xml:space="preserve">บทความข้อมูลเชิงลึกเรื่อง E-Cigarettes</t>
  </si>
  <si>
    <t xml:space="preserve">T27</t>
  </si>
  <si>
    <t xml:space="preserve">26 (วงกลาง)</t>
  </si>
  <si>
    <t xml:space="preserve">Youth Club เด็กมีภูมิ</t>
  </si>
  <si>
    <t xml:space="preserve">T28</t>
  </si>
  <si>
    <t xml:space="preserve">28</t>
  </si>
  <si>
    <t xml:space="preserve">สติ๊กเกอร์ลดบุหรี่ QuitUP!</t>
  </si>
  <si>
    <t xml:space="preserve">T02</t>
  </si>
  <si>
    <t xml:space="preserve">02</t>
  </si>
  <si>
    <t xml:space="preserve">2</t>
  </si>
  <si>
    <t xml:space="preserve">คู่มือ G-RDU</t>
  </si>
  <si>
    <t xml:space="preserve">ตัดชั่วคราว (อาจไม่ตรงประเด็น)</t>
  </si>
  <si>
    <t xml:space="preserve">T03</t>
  </si>
  <si>
    <t xml:space="preserve">03</t>
  </si>
  <si>
    <t xml:space="preserve">คู่มือ CIB</t>
  </si>
  <si>
    <t xml:space="preserve">T17</t>
  </si>
  <si>
    <t xml:space="preserve">17</t>
  </si>
  <si>
    <t xml:space="preserve">Survival Kit 7+1</t>
  </si>
  <si>
    <t xml:space="preserve">องค์ประกอบในโมเดล IP ของ สสส. (รหัส MS)</t>
  </si>
  <si>
    <t xml:space="preserve">เป้าหมายเป็นการสรุปของทีมจากแผนภาพโมเดล 23 มิ.ย. 69 — ต้องให้ สสส. ยืนยันถ้อยคำ</t>
  </si>
  <si>
    <t xml:space="preserve">รหัส MS</t>
  </si>
  <si>
    <t xml:space="preserve">Setting</t>
  </si>
  <si>
    <t xml:space="preserve">ชื่อองค์ประกอบ</t>
  </si>
  <si>
    <t xml:space="preserve">เป้าหมาย</t>
  </si>
  <si>
    <t xml:space="preserve">เครื่องมือในคลังที่รองรับ</t>
  </si>
  <si>
    <t xml:space="preserve">IP ที่รับไปทำต่อ</t>
  </si>
  <si>
    <t xml:space="preserve">MS1</t>
  </si>
  <si>
    <t xml:space="preserve">สถานศึกษา</t>
  </si>
  <si>
    <t xml:space="preserve">มาตรการ 1 การกำหนดนโยบาย</t>
  </si>
  <si>
    <t xml:space="preserve">มีนโยบายสถานศึกษาปลอดบุหรี่ที่ประกาศชัดและสื่อสารทั่วถึง</t>
  </si>
  <si>
    <t xml:space="preserve">T01, T05 (อุดมศึกษา)</t>
  </si>
  <si>
    <t xml:space="preserve">IP-01</t>
  </si>
  <si>
    <t xml:space="preserve">MS2</t>
  </si>
  <si>
    <t xml:space="preserve">มาตรการ 2 การบริหารจัดการ</t>
  </si>
  <si>
    <t xml:space="preserve">มีคณะทำงานขับเคลื่อนและแบ่งบทบาทฝ่ายให้งานเดินต่อเนื่อง</t>
  </si>
  <si>
    <t xml:space="preserve">T01 (หัวข้อภายใน), T04 (อุดมศึกษา)</t>
  </si>
  <si>
    <t xml:space="preserve">MS3</t>
  </si>
  <si>
    <t xml:space="preserve">มาตรการ 3 การจัดการสภาพแวดล้อม</t>
  </si>
  <si>
    <t xml:space="preserve">พื้นที่กายภาพไม่เอื้อต่อการแอบใช้ และมีสื่อเตือนครบจุดเสี่ยง</t>
  </si>
  <si>
    <t xml:space="preserve">T01 (หัวข้อภายใน), T22 (ใช้เป็นสื่อติดตั้ง)</t>
  </si>
  <si>
    <t xml:space="preserve">MS4</t>
  </si>
  <si>
    <t xml:space="preserve">มาตรการ 4 การสอดแทรกในการเรียนการสอน</t>
  </si>
  <si>
    <t xml:space="preserve">เด็กและเยาวชนมีความรอบรู้และทักษะปฏิเสธผ่านการเรียนการสอน</t>
  </si>
  <si>
    <t xml:space="preserve">T08, T16, T18, T19, T24</t>
  </si>
  <si>
    <t xml:space="preserve">IP-02</t>
  </si>
  <si>
    <t xml:space="preserve">MS5</t>
  </si>
  <si>
    <t xml:space="preserve">มาตรการ 5 การมีส่วนร่วมของนักเรียน</t>
  </si>
  <si>
    <t xml:space="preserve">นักเรียนเป็นฟันเฟืองหลัก มีชมรมและแกนนำที่ทำงานเองได้</t>
  </si>
  <si>
    <t xml:space="preserve">T27, T20</t>
  </si>
  <si>
    <t xml:space="preserve">IP-03</t>
  </si>
  <si>
    <t xml:space="preserve">MS6</t>
  </si>
  <si>
    <t xml:space="preserve">มาตรการ 6 การดูแลช่วยเหลือนักเรียน</t>
  </si>
  <si>
    <t xml:space="preserve">ผู้ที่ใช้แล้วได้รับการดูแลให้ลด ละ เลิก และถูกส่งต่อเมื่อจำเป็น</t>
  </si>
  <si>
    <t xml:space="preserve">T19, T28, T05 (อุดมศึกษา)</t>
  </si>
  <si>
    <t xml:space="preserve">IP-04</t>
  </si>
  <si>
    <t xml:space="preserve">MS7</t>
  </si>
  <si>
    <t xml:space="preserve">สถานศึกษา×ชุมชน</t>
  </si>
  <si>
    <t xml:space="preserve">มาตรการ 7 กิจกรรมร่วมระหว่างโรงเรียนกับชุมชน</t>
  </si>
  <si>
    <t xml:space="preserve">เกิดพื้นที่ปลอดบุหรี่นอกรั้วสถานศึกษาผ่านกิจกรรมร่วม</t>
  </si>
  <si>
    <t xml:space="preserve">T20, T22, T23</t>
  </si>
  <si>
    <t xml:space="preserve">IP-07</t>
  </si>
  <si>
    <t xml:space="preserve">MS-F1</t>
  </si>
  <si>
    <t xml:space="preserve">ครอบครัว</t>
  </si>
  <si>
    <t xml:space="preserve">บ้านปลอดควัน</t>
  </si>
  <si>
    <t xml:space="preserve">บ้านเป็นพื้นที่ปลอดควัน และคนในบ้านที่สูบได้รับการชวนให้เลิก</t>
  </si>
  <si>
    <t xml:space="preserve">T06, T08</t>
  </si>
  <si>
    <t xml:space="preserve">IP-05</t>
  </si>
  <si>
    <t xml:space="preserve">MS-C1</t>
  </si>
  <si>
    <t xml:space="preserve">ชุมชน</t>
  </si>
  <si>
    <t xml:space="preserve">วัด/มัสยิดปลอดควัน</t>
  </si>
  <si>
    <t xml:space="preserve">ศาสนสถานเป็นจุดตั้งต้นของพื้นที่ปลอดควันในชุมชน</t>
  </si>
  <si>
    <t xml:space="preserve">T07, T06</t>
  </si>
  <si>
    <t xml:space="preserve">IP-06</t>
  </si>
  <si>
    <t xml:space="preserve">MS-C2</t>
  </si>
  <si>
    <t xml:space="preserve">ZONING ปลอดบุหรี่ (Area-based)</t>
  </si>
  <si>
    <t xml:space="preserve">ชุมชนมีเขตปลอดบุหรี่และมีการเฝ้าระวังพื้นที่กับแหล่งขาย</t>
  </si>
  <si>
    <t xml:space="preserve">T10, T22</t>
  </si>
  <si>
    <t xml:space="preserve">MS-C3</t>
  </si>
  <si>
    <t xml:space="preserve">สื่อสารในงานชุมชนท้องถิ่น (Event-based)</t>
  </si>
  <si>
    <t xml:space="preserve">ใช้งานประเพณีและเทศกาลเป็นเวทีสื่อสารให้คนรู้เท่าทัน</t>
  </si>
  <si>
    <t xml:space="preserve">T15, T20, T21, T22, T23</t>
  </si>
  <si>
    <t xml:space="preserve">MS-H1</t>
  </si>
  <si>
    <t xml:space="preserve">ระบบบริการสุขภาพ</t>
  </si>
  <si>
    <t xml:space="preserve">เชื่อมโยงสาธารณสุข–รพ.สต. (ระบบช่วยเลิก)</t>
  </si>
  <si>
    <t xml:space="preserve">คนที่อยากเลิกเข้าถึงบริการช่วยเลิกได้ และมีเส้นทางส่งต่อ</t>
  </si>
  <si>
    <t xml:space="preserve">IP-08</t>
  </si>
  <si>
    <t xml:space="preserve">Tool Card ครบ 25 ชิ้น</t>
  </si>
  <si>
    <t xml:space="preserve">ช่องขั้นตอน สิ่งที่ต้องเตรียม ความเสี่ยง เงื่อนไข ตัวชี้วัด เป็นข้อมูล [จำลอง] ทั้งหมด รอแทนที่ด้วยคู่มือจริงจาก สสส.</t>
  </si>
  <si>
    <t xml:space="preserve">รหัส</t>
  </si>
  <si>
    <t xml:space="preserve">ประเภท</t>
  </si>
  <si>
    <t xml:space="preserve">คำอธิบายสั้น (ใช้บนการ์ด)</t>
  </si>
  <si>
    <t xml:space="preserve">กลุ่มเป้าหมาย (G)</t>
  </si>
  <si>
    <t xml:space="preserve">ระดับ</t>
  </si>
  <si>
    <t xml:space="preserve">ผู้ดำเนินการหลัก (R)</t>
  </si>
  <si>
    <t xml:space="preserve">ผู้ร่วม (R)</t>
  </si>
  <si>
    <t xml:space="preserve">สถานที่ใช้</t>
  </si>
  <si>
    <t xml:space="preserve">บทบาทในแผน</t>
  </si>
  <si>
    <t xml:space="preserve">IP ที่ผูก</t>
  </si>
  <si>
    <t xml:space="preserve">ลักษณะกิจกรรม</t>
  </si>
  <si>
    <t xml:space="preserve">ขั้นตอนใช้งาน [จำลอง]</t>
  </si>
  <si>
    <t xml:space="preserve">สิ่งที่ต้องเตรียม [จำลอง]</t>
  </si>
  <si>
    <t xml:space="preserve">ความเสี่ยง [จำลอง]</t>
  </si>
  <si>
    <t xml:space="preserve">เงื่อนไขความสำเร็จ [จำลอง]</t>
  </si>
  <si>
    <t xml:space="preserve">ตัวชี้วัด [จำลอง]</t>
  </si>
  <si>
    <t xml:space="preserve">ใช้คู่กับ</t>
  </si>
  <si>
    <t xml:space="preserve">ไฟล์การ์ด</t>
  </si>
  <si>
    <t xml:space="preserve">แหล่งที่มา</t>
  </si>
  <si>
    <t xml:space="preserve">สถานะข้อมูล</t>
  </si>
  <si>
    <t xml:space="preserve">คู่มือ/แนวปฏิบัติ</t>
  </si>
  <si>
    <t xml:space="preserve">ชุดมาตรการขับเคลื่อนสถานศึกษาปลอดบุหรี่ครบ 7 ด้าน ตั้งแต่นโยบายถึงกิจกรรมร่วมกับชุมชน</t>
  </si>
  <si>
    <t xml:space="preserve">G02 นักเรียนประถม; G03 นักเรียนมัธยม; G04 นักศึกษาอุดมศึกษา;</t>
  </si>
  <si>
    <t xml:space="preserve">ป้องกัน</t>
  </si>
  <si>
    <t xml:space="preserve">R01 ผู้บริหารสถานศึกษา; R08 ทีมผู้บริหารและครู</t>
  </si>
  <si>
    <t xml:space="preserve">R02 ครู/อาจารย์; R03 บุคลากรในสถานศึกษา; R06 แกนนำนักเรียน; R07 แกนนำนักศึกษา; R10 เจ้าหน้าที่สาธารณสุข; R11 ผู้ปกครอง</t>
  </si>
  <si>
    <t xml:space="preserve">ทั้งโรงเรียน / มหาวิทยาลัย</t>
  </si>
  <si>
    <t xml:space="preserve">หลัก</t>
  </si>
  <si>
    <t xml:space="preserve">ตั้งกติกา/ระบบในองค์กร</t>
  </si>
  <si>
    <t xml:space="preserve">ช่วง 1 ประชุมผู้บริหารและตั้งคณะทำงาน 1 ครั้ง
ช่วง 2 ประกาศนโยบายและสื่อสารให้ครู นักเรียน ผู้ปกครองรับรู้
ช่วง 3 แบ่งงาน 3 ฝ่าย ได้แก่ สถานที่ วิชาการ ปกครอง
ช่วง 4 ทบทวนผลรายเดือนและรายงานคณะกรรมการสถานศึกษา</t>
  </si>
  <si>
    <t xml:space="preserve">คำสั่งแต่งตั้งคณะทำงาน, เวลาประชุมฝ่าย, งบป้ายและสื่อ</t>
  </si>
  <si>
    <t xml:space="preserve">นโยบายประกาศแล้วไม่มีคนติดตาม; จุดเสี่ยงนอกรั้วโรงเรียนควบคุมไม่ได้</t>
  </si>
  <si>
    <t xml:space="preserve">ผู้บริหารกำหนดผู้รับผิดชอบชัดเจน; ทบทวนผลอย่างน้อยเดือนละครั้ง</t>
  </si>
  <si>
    <t xml:space="preserve">มีประกาศนโยบายและคณะทำงาน; จำนวนจุดเสี่ยงที่ปรับปรุง; เหตุการณ์พบการใช้ในสถานศึกษา</t>
  </si>
  <si>
    <t xml:space="preserve">T16, T12</t>
  </si>
  <si>
    <t xml:space="preserve">T01.pdf</t>
  </si>
  <si>
    <t xml:space="preserve">เอกสาร 7 มาตรการ (พบข้อมูลเผยแพร่)</t>
  </si>
  <si>
    <t xml:space="preserve">จริงบางส่วน + [จำลอง]</t>
  </si>
  <si>
    <t xml:space="preserve">คู่มือใช้แพลตฟอร์มดูแลสุขภาวะในมหาวิทยาลัยและที่ทำงาน</t>
  </si>
  <si>
    <t xml:space="preserve">G04 นักศึกษาอุดมศึกษา; G07 พนักงาน/วัยทำงาน;</t>
  </si>
  <si>
    <t xml:space="preserve">ทั้งสองระดับ</t>
  </si>
  <si>
    <t xml:space="preserve">R01 ผู้บริหารสถานศึกษา; R03 บุคลากรในสถานศึกษา</t>
  </si>
  <si>
    <t xml:space="preserve">R02 ครู/อาจารย์; R07 แกนนำนักศึกษา; R23 บุคลากรในสถานประกอบการ; R24 แกนนำในสถานประกอบการ</t>
  </si>
  <si>
    <t xml:space="preserve">มหาวิทยาลัย (ออนไลน์)</t>
  </si>
  <si>
    <t xml:space="preserve">IP-01, IP-09</t>
  </si>
  <si>
    <t xml:space="preserve">ช่วง 1 เปิดใช้แพลตฟอร์มและกำหนดผู้ดูแลระบบ
ช่วง 2 ประชาสัมพันธ์ให้นักศึกษา/พนักงานเข้าใช้
ช่วง 3 ติดตามข้อมูลการใช้งานรายเดือน
ช่วง 4 สรุปผลเสนอผู้บริหาร</t>
  </si>
  <si>
    <t xml:space="preserve">บัญชีผู้ดูแลระบบ, ช่องทางประชาสัมพันธ์ภายใน</t>
  </si>
  <si>
    <t xml:space="preserve">คนเข้าใช้น้อยถ้าไม่มีการสื่อสารต่อเนื่อง; ข้อมูลไม่ถูกนำไปใช้ต่อ</t>
  </si>
  <si>
    <t xml:space="preserve">มีผู้ดูแลระบบประจำ; ผู้บริหารใช้ข้อมูลประกอบการตัดสินใจ</t>
  </si>
  <si>
    <t xml:space="preserve">จำนวนผู้ลงทะเบียนใช้งาน; จำนวนเคสที่ถูกส่งต่อ</t>
  </si>
  <si>
    <t xml:space="preserve">T04.pdf</t>
  </si>
  <si>
    <t xml:space="preserve">ตาราง Flagship 11 พ.ค.</t>
  </si>
  <si>
    <t xml:space="preserve">ขั้นตอนปฏิบัติมาตรฐานเมื่อพบการใช้บุหรี่ไฟฟ้าในมหาวิทยาลัย</t>
  </si>
  <si>
    <t xml:space="preserve">G04 นักศึกษาอุดมศึกษา;</t>
  </si>
  <si>
    <t xml:space="preserve">R02 ครู/อาจารย์; R07 แกนนำนักศึกษา</t>
  </si>
  <si>
    <t xml:space="preserve">มหาวิทยาลัย</t>
  </si>
  <si>
    <t xml:space="preserve">IP-01, IP-04</t>
  </si>
  <si>
    <t xml:space="preserve">ช่วง 1 ทบทวนขั้นตอนเดิมของสถาบัน
ช่วง 2 ประกาศใช้ SOP และอบรมผู้เกี่ยวข้อง
ช่วง 3 ทดลองใช้กับเคสจริงและบันทึกผล
ช่วง 4 ปรับปรุง SOP ตามผลการใช้</t>
  </si>
  <si>
    <t xml:space="preserve">เอกสาร SOP, ทีมอบรม, แบบบันทึกเคส</t>
  </si>
  <si>
    <t xml:space="preserve">ผู้ปฏิบัติไม่รู้ขั้นตอนเมื่อเจอเคสจริง; ไม่มีผู้รับผิดชอบชัดเจน</t>
  </si>
  <si>
    <t xml:space="preserve">อบรมผู้เกี่ยวข้องครบทุกหน่วย; มีช่องทางส่งต่อที่ใช้ได้จริง</t>
  </si>
  <si>
    <t xml:space="preserve">จำนวนผู้ผ่านการอบรม; จำนวนเคสที่ดำเนินการตาม SOP</t>
  </si>
  <si>
    <t xml:space="preserve">T04, T13</t>
  </si>
  <si>
    <t xml:space="preserve">T05.pdf</t>
  </si>
  <si>
    <t xml:space="preserve">ใช้ครอบครัวเป็นแรงจูงใจให้คนในบ้านลด ละ เลิกบุหรี่</t>
  </si>
  <si>
    <t xml:space="preserve">G08 ประชากรกลุ่มเฉพาะ (ชุมชนมุสลิม);</t>
  </si>
  <si>
    <t xml:space="preserve">R18 แกนนำชุมชนมุสลิม; R19 คณะกรรมการมัสยิด</t>
  </si>
  <si>
    <t xml:space="preserve">R11 ผู้ปกครอง; R13 แกนนำชุมชน; R15 อสม.</t>
  </si>
  <si>
    <t xml:space="preserve">บ้าน / มัสยิด / ตาดีกา</t>
  </si>
  <si>
    <t xml:space="preserve">ช่วยคนที่อยากเลิก</t>
  </si>
  <si>
    <t xml:space="preserve">ช่วง 1 สำรวจครัวเรือนที่มีผู้สูบในชุมชน
ช่วง 2 ชวนครอบครัวเข้าร่วมผ่านกิจกรรมของมัสยิดหรือตาดีกา
ช่วง 3 ติดตามรายครัวเรือนทุก 2 สัปดาห์
ช่วง 4 ยกย่องครัวเรือนต้นแบบในเวทีชุมชน</t>
  </si>
  <si>
    <t xml:space="preserve">รายชื่อครัวเรือน, ทีมเยี่ยมบ้าน, สื่อให้ความรู้</t>
  </si>
  <si>
    <t xml:space="preserve">ครัวเรือนไม่เปิดรับการเยี่ยม; ผู้สูบกลับไปสูบซ้ำ</t>
  </si>
  <si>
    <t xml:space="preserve">ผู้นำศาสนาเป็นแบบอย่าง; มีทีมติดตามต่อเนื่อง</t>
  </si>
  <si>
    <t xml:space="preserve">จำนวนครัวเรือนที่เข้าร่วม; จำนวนผู้ที่ลดหรือเลิกได้</t>
  </si>
  <si>
    <t xml:space="preserve">T06.pdf</t>
  </si>
  <si>
    <t xml:space="preserve">มูลนิธิสร้างสุขมุสลิมไทย (พบข้อมูลเผยแพร่)</t>
  </si>
  <si>
    <t xml:space="preserve">ขับเคลื่อนมัสยิดปลอดบุหรี่ด้วยหลักศาสนาและคณะกรรมการมัสยิด</t>
  </si>
  <si>
    <t xml:space="preserve">R13 แกนนำชุมชน; R14 แกนนำ อปท.; R15 อสม.</t>
  </si>
  <si>
    <t xml:space="preserve">มัสยิด</t>
  </si>
  <si>
    <t xml:space="preserve">ช่วง 1 ประชุมคณะกรรมการมัสยิดและประกาศเจตนารมณ์
ช่วง 2 ติดป้ายสัญลักษณ์และสื่อสารผ่านคุตบะห์
ช่วง 3 ขอความร่วมมือสัปปุรุษและร้านค้ารอบมัสยิด
ช่วง 4 ทบทวนผลและขยายสู่ครัวเรือน</t>
  </si>
  <si>
    <t xml:space="preserve">ป้ายสัญลักษณ์, ผู้ประกาศ, วาระประชุมคณะกรรมการ</t>
  </si>
  <si>
    <t xml:space="preserve">ประกาศแล้วไม่มีการเฝ้าระวังต่อเนื่อง; ร้านค้ารอบพื้นที่ยังขายให้เด็ก</t>
  </si>
  <si>
    <t xml:space="preserve">ผู้นำศาสนาสนับสนุนเต็มที่; มีทีมเฝ้าระวังร่วมกับชุมชน</t>
  </si>
  <si>
    <t xml:space="preserve">มีประกาศพื้นที่ปลอดบุหรี่; จำนวนกิจกรรมสื่อสาร; เหตุการณ์สูบในมัสยิดลดลง</t>
  </si>
  <si>
    <t xml:space="preserve">T06, T22</t>
  </si>
  <si>
    <t xml:space="preserve">T07.pdf</t>
  </si>
  <si>
    <t xml:space="preserve">กิจกรรมเรียนรู้เรื่องบุหรี่ไฟฟ้าที่ครูและผู้ปกครองทำกับเด็กได้</t>
  </si>
  <si>
    <t xml:space="preserve">G02 นักเรียนประถม; G03 นักเรียนมัธยม;</t>
  </si>
  <si>
    <t xml:space="preserve">R02 ครู/อาจารย์; R11 ผู้ปกครอง</t>
  </si>
  <si>
    <t xml:space="preserve">R06 แกนนำนักเรียน; R03 บุคลากรในสถานศึกษา</t>
  </si>
  <si>
    <t xml:space="preserve">ห้องเรียน / บ้าน</t>
  </si>
  <si>
    <t xml:space="preserve">IP-02, IP-05</t>
  </si>
  <si>
    <t xml:space="preserve">จัดกิจกรรมเรียนรู้</t>
  </si>
  <si>
    <t xml:space="preserve">ช่วง 1 ครูศึกษาคู่มือและเลือกกิจกรรมที่เหมาะกับชั้นเรียน
ช่วง 2 จัดกิจกรรมในห้องเรียน 2–3 ครั้ง
ช่วง 3 ส่งใบกิจกรรมให้ผู้ปกครองทำต่อที่บ้าน
ช่วง 4 สรุปผลและคืนข้อมูลให้ผู้ปกครอง</t>
  </si>
  <si>
    <t xml:space="preserve">คู่มือ, ใบกิจกรรม, คาบเรียน 1–2 คาบ</t>
  </si>
  <si>
    <t xml:space="preserve">ผู้ปกครองไม่ได้ทำกิจกรรมต่อที่บ้าน; เวลาคาบเรียนไม่พอ</t>
  </si>
  <si>
    <t xml:space="preserve">ครูได้อ่านคู่มือก่อนใช้; มีช่องทางสื่อสารกับผู้ปกครอง</t>
  </si>
  <si>
    <t xml:space="preserve">จำนวนนักเรียนที่เข้าร่วม; ความรอบรู้ก่อน–หลัง; จำนวนครอบครัวที่ทำกิจกรรมต่อ</t>
  </si>
  <si>
    <t xml:space="preserve">T08.pdf</t>
  </si>
  <si>
    <t xml:space="preserve">แบบสำรวจ/ประเมิน</t>
  </si>
  <si>
    <t xml:space="preserve">แบบทดสอบความรอบรู้ก่อน–หลังทำกิจกรรม</t>
  </si>
  <si>
    <t xml:space="preserve">G02 นักเรียนประถม; G03 นักเรียนมัธยม; G05 นักเรียนอาชีวศึกษา; G06 เยาวชนนอกระบบการศึกษา;</t>
  </si>
  <si>
    <t xml:space="preserve">R03 บุคลากรในสถานศึกษา; R10 เจ้าหน้าที่สาธารณสุข</t>
  </si>
  <si>
    <t xml:space="preserve">สถานศึกษา / ศูนย์การเรียนรู้</t>
  </si>
  <si>
    <t xml:space="preserve">วัดผล</t>
  </si>
  <si>
    <t xml:space="preserve">ทุก IP</t>
  </si>
  <si>
    <t xml:space="preserve">สำรวจสถานการณ์</t>
  </si>
  <si>
    <t xml:space="preserve">ช่วง 1 แจกแบบทดสอบก่อนเริ่มกิจกรรม
ช่วง 2 ดำเนินกิจกรรมตามแผน
ช่วง 3 แจกแบบทดสอบซ้ำหลังจบกิจกรรม
ช่วง 4 เปรียบเทียบผลและรายงาน</t>
  </si>
  <si>
    <t xml:space="preserve">แบบทดสอบ, เวลา 20 นาทีต่อรอบ</t>
  </si>
  <si>
    <t xml:space="preserve">ผู้ตอบตอบตามที่คิดว่าถูกใจครู; เก็บแบบไม่ครบ</t>
  </si>
  <si>
    <t xml:space="preserve">ทำทั้งก่อนและหลัง; อธิบายวัตถุประสงค์ให้ผู้ตอบเข้าใจ</t>
  </si>
  <si>
    <t xml:space="preserve">คะแนนความรอบรู้ก่อน–หลัง; อัตราการตอบกลับ</t>
  </si>
  <si>
    <t xml:space="preserve">-</t>
  </si>
  <si>
    <t xml:space="preserve">T09.pdf</t>
  </si>
  <si>
    <t xml:space="preserve">แอปสำรวจสถานการณ์การสูบ ร้านค้า และพื้นที่สาธารณะระดับท้องถิ่น</t>
  </si>
  <si>
    <t xml:space="preserve">G10 ประชาชนทั่วไป;</t>
  </si>
  <si>
    <t xml:space="preserve">R14 แกนนำ อปท.</t>
  </si>
  <si>
    <t xml:space="preserve">R10 เจ้าหน้าที่สาธารณสุข; R13 แกนนำชุมชน; R15 อสม.</t>
  </si>
  <si>
    <t xml:space="preserve">ท้องถิ่น: ครัวเรือน ร้านค้า พื้นที่สาธารณะ</t>
  </si>
  <si>
    <t xml:space="preserve">IP-06, IP-07</t>
  </si>
  <si>
    <t xml:space="preserve">ช่วง 1 อบรมทีมสำรวจการใช้แอป
ช่วง 2 ลงพื้นที่เก็บข้อมูลร้านค้าและพื้นที่สาธารณะ
ช่วง 3 สรุปข้อมูลเป็นแผนที่จุดเสี่ยง
ช่วง 4 นำข้อมูลเสนอที่ประชุมท้องถิ่น</t>
  </si>
  <si>
    <t xml:space="preserve">โทรศัพท์มือถือ, ทีมสำรวจ 3–5 คน, แผนที่พื้นที่</t>
  </si>
  <si>
    <t xml:space="preserve">ข้อมูลไม่ครบถ้าทีมสำรวจไม่ต่อเนื่อง; ร้านค้าไม่ให้ความร่วมมือ</t>
  </si>
  <si>
    <t xml:space="preserve">มีทีมสำรวจประจำ; ท้องถิ่นนำข้อมูลไปใช้จริง</t>
  </si>
  <si>
    <t xml:space="preserve">จำนวนจุดที่สำรวจ; จำนวนจุดเสี่ยงที่ถูกจัดการ</t>
  </si>
  <si>
    <t xml:space="preserve">T11, T22</t>
  </si>
  <si>
    <t xml:space="preserve">T10.pdf</t>
  </si>
  <si>
    <t xml:space="preserve">มูลนิธิรณรงค์เพื่อการไม่สูบบุหรี่ (พบข้อมูลเผยแพร่)</t>
  </si>
  <si>
    <t xml:space="preserve">แบบสำรวจพฤติกรรมเพื่อวางแผนและวัดผลก่อน–หลัง</t>
  </si>
  <si>
    <t xml:space="preserve">G03 นักเรียนมัธยม; G04 นักศึกษาอุดมศึกษา; G05 นักเรียนอาชีวศึกษา; G06 เยาวชนนอกระบบการศึกษา; G07 พนักงาน/วัยทำงาน; G08 ประชากรกลุ่มเฉพาะ (ชุมชนมุสลิม); G09 ผู้สูงอายุ; G10 ประชาชนทั่วไป;</t>
  </si>
  <si>
    <t xml:space="preserve">R02 ครู/อาจารย์; R10 เจ้าหน้าที่สาธารณสุข</t>
  </si>
  <si>
    <t xml:space="preserve">R03 บุคลากรในสถานศึกษา; R14 แกนนำ อปท.; R15 อสม.; R23 บุคลากรในสถานประกอบการ; R24 แกนนำในสถานประกอบการ</t>
  </si>
  <si>
    <t xml:space="preserve">ทุกพื้นที่</t>
  </si>
  <si>
    <t xml:space="preserve">ช่วง 1 กำหนดกลุ่มตัวอย่างและช่วงเวลาสำรวจ
ช่วง 2 เก็บข้อมูลรอบแรก
ช่วง 3 ดำเนินกิจกรรมตามแผน
ช่วง 4 เก็บข้อมูลรอบสองและเปรียบเทียบ</t>
  </si>
  <si>
    <t xml:space="preserve">แบบสำรวจ, ทีมเก็บข้อมูล, ระบบบันทึกผล</t>
  </si>
  <si>
    <t xml:space="preserve">ผู้ตอบไม่ตอบตรงความจริงเรื่องการใช้; กลุ่มตัวอย่างไม่เหมือนเดิมสองรอบ</t>
  </si>
  <si>
    <t xml:space="preserve">เก็บข้อมูลแบบไม่ระบุตัวตน; ใช้แบบเดียวกันทั้งสองรอบ</t>
  </si>
  <si>
    <t xml:space="preserve">อัตราการใช้บุหรี่ไฟฟ้าก่อน–หลัง; จำนวนผู้ตอบ</t>
  </si>
  <si>
    <t xml:space="preserve">T11.pdf</t>
  </si>
  <si>
    <t xml:space="preserve">แบบประเมินความรอบรู้เรื่องบุหรี่ไฟฟ้าของนักเรียน</t>
  </si>
  <si>
    <t xml:space="preserve">R03 บุคลากรในสถานศึกษา</t>
  </si>
  <si>
    <t xml:space="preserve">ช่วง 1 ประเมินก่อนเริ่มกิจกรรม
ช่วง 2 ดำเนินกิจกรรมเรียนรู้
ช่วง 3 ประเมินซ้ำหลังจบ
ช่วง 4 สรุปผลให้ฝ่ายวิชาการ</t>
  </si>
  <si>
    <t xml:space="preserve">แบบประเมิน, เวลา 15 นาทีต่อรอบ</t>
  </si>
  <si>
    <t xml:space="preserve">นักเรียนจำคำตอบจากรอบแรก; เก็บแบบไม่ครบ</t>
  </si>
  <si>
    <t xml:space="preserve">เว้นระยะระหว่างสองรอบอย่างน้อย 3 สัปดาห์</t>
  </si>
  <si>
    <t xml:space="preserve">คะแนนความรอบรู้ก่อน–หลัง</t>
  </si>
  <si>
    <t xml:space="preserve">T12.pdf</t>
  </si>
  <si>
    <t xml:space="preserve">แบบสอบถามนักศึกษาในแพลตฟอร์ม Uni-Health</t>
  </si>
  <si>
    <t xml:space="preserve">R01 ผู้บริหารสถานศึกษา; R07 แกนนำนักศึกษา</t>
  </si>
  <si>
    <t xml:space="preserve">ช่วง 1 เปิดแบบสอบถามในแพลตฟอร์ม
ช่วง 2 ประชาสัมพันธ์ให้นักศึกษาตอบ
ช่วง 3 ปิดรอบและประมวลผล
ช่วง 4 เสนอผลต่อผู้บริหาร</t>
  </si>
  <si>
    <t xml:space="preserve">บัญชีแพลตฟอร์ม, ช่องทางประชาสัมพันธ์</t>
  </si>
  <si>
    <t xml:space="preserve">จำนวนผู้ตอบน้อย; ข้อมูลไม่ถูกนำไปใช้</t>
  </si>
  <si>
    <t xml:space="preserve">มีการประชาสัมพันธ์ต่อเนื่อง; ผู้บริหารใช้ข้อมูลประกอบนโยบาย</t>
  </si>
  <si>
    <t xml:space="preserve">จำนวนผู้ตอบ; สัดส่วนนักศึกษาที่เคยใช้บุหรี่ไฟฟ้า</t>
  </si>
  <si>
    <t xml:space="preserve">T13.pdf</t>
  </si>
  <si>
    <t xml:space="preserve">แบบประเมินความรู้สำหรับเยาวชนกลุ่มชาติพันธุ์</t>
  </si>
  <si>
    <t xml:space="preserve">G03 นักเรียนมัธยม; G04 นักศึกษาอุดมศึกษา; G05 นักเรียนอาชีวศึกษา;</t>
  </si>
  <si>
    <t xml:space="preserve">สถานศึกษาในพื้นที่ชาติพันธุ์</t>
  </si>
  <si>
    <t xml:space="preserve">ช่วง 1 เตรียมแบบประเมินและอธิบายให้ผู้ตอบเข้าใจ
ช่วง 2 เก็บข้อมูลก่อนกิจกรรม
ช่วง 3 ดำเนินกิจกรรม
ช่วง 4 เก็บข้อมูลหลังกิจกรรมและสรุป</t>
  </si>
  <si>
    <t xml:space="preserve">แบบประเมิน, ล่ามหรือผู้ช่วยสื่อสารในพื้นที่ชาติพันธุ์</t>
  </si>
  <si>
    <t xml:space="preserve">อุปสรรคด้านภาษา; ผู้ตอบไม่คุ้นกับแบบสอบถาม</t>
  </si>
  <si>
    <t xml:space="preserve">มีผู้ช่วยสื่อสารในพื้นที่; ใช้ภาษาที่เข้าใจง่าย</t>
  </si>
  <si>
    <t xml:space="preserve">คะแนนความรู้ก่อน–หลัง; จำนวนผู้เข้าร่วม</t>
  </si>
  <si>
    <t xml:space="preserve">T14.pdf</t>
  </si>
  <si>
    <t xml:space="preserve">ชุดกิจกรรม</t>
  </si>
  <si>
    <t xml:space="preserve">ชุดกิจกรรมควบคุมการบริโภคบุหรี่และบุหรี่ไฟฟ้าสำหรับชุมชน</t>
  </si>
  <si>
    <t xml:space="preserve">R13 แกนนำชุมชน</t>
  </si>
  <si>
    <t xml:space="preserve">R10 เจ้าหน้าที่สาธารณสุข; R14 แกนนำ อปท.; R15 อสม.</t>
  </si>
  <si>
    <t xml:space="preserve">ช่วง 1 เลือกชุดกิจกรรมที่เหมาะกับชุมชน
ช่วง 2 ประชุมทีมชุมชนและแบ่งบทบาท
ช่วง 3 จัดกิจกรรมตามชุดที่เลือก
ช่วง 4 สรุปผลในเวทีชุมชน</t>
  </si>
  <si>
    <t xml:space="preserve">ทีมชุมชน 3–5 คน, สถานที่จัดกิจกรรม, อุปกรณ์ตามชุด</t>
  </si>
  <si>
    <t xml:space="preserve">ชุมชนเข้าร่วมน้อยถ้าไม่ตรงช่วงเวลาว่าง; ขาดผู้ประสานงานหลัก</t>
  </si>
  <si>
    <t xml:space="preserve">มีผู้ประสานงานชัดเจน; จัดในช่วงที่ชุมชนสะดวก</t>
  </si>
  <si>
    <t xml:space="preserve">จำนวนผู้เข้าร่วม; จำนวนกิจกรรมที่จัดได้จริง</t>
  </si>
  <si>
    <t xml:space="preserve">T15.pdf</t>
  </si>
  <si>
    <t xml:space="preserve">ช่องทางสื่อสาร</t>
  </si>
  <si>
    <t xml:space="preserve">แหล่งรวมชุดความรู้พร้อมใช้และแบบวัดผลสำหรับคนทำงานกับเด็ก</t>
  </si>
  <si>
    <t xml:space="preserve">R01 ผู้บริหารสถานศึกษา; R06 แกนนำนักเรียน; R11 ผู้ปกครอง</t>
  </si>
  <si>
    <t xml:space="preserve">ออนไลน์ → ห้องเรียน</t>
  </si>
  <si>
    <t xml:space="preserve">ช่วง 1 ค้นชุดความรู้ที่ตรงกับระดับชั้น
ช่วง 2 ใช้แบบวัดผลก่อนเรียน
ช่วง 3 จัดกิจกรรมตามชุดความรู้
ช่วง 4 วัดผลหลังเรียนและบันทึกในระบบ</t>
  </si>
  <si>
    <t xml:space="preserve">อินเทอร์เน็ต, อุปกรณ์ฉายในห้องเรียน</t>
  </si>
  <si>
    <t xml:space="preserve">ครูไม่มีเวลาเลือกชุดความรู้; อินเทอร์เน็ตในห้องเรียนไม่เสถียร</t>
  </si>
  <si>
    <t xml:space="preserve">ครูได้ทดลองใช้ก่อน; มีเวลาในคาบเรียนรองรับ</t>
  </si>
  <si>
    <t xml:space="preserve">จำนวนชุดความรู้ที่ใช้; ผลวัดก่อน–หลัง</t>
  </si>
  <si>
    <t xml:space="preserve">T08, T18</t>
  </si>
  <si>
    <t xml:space="preserve">T16.pdf</t>
  </si>
  <si>
    <t xml:space="preserve">childimpact.co (พบข้อมูลเผยแพร่)</t>
  </si>
  <si>
    <t xml:space="preserve">สื่อเรียนรู้/เกม</t>
  </si>
  <si>
    <t xml:space="preserve">เกมกระดานฝึกทักษะการปฏิเสธเมื่อถูกชักชวน</t>
  </si>
  <si>
    <t xml:space="preserve">G03 นักเรียนมัธยม;</t>
  </si>
  <si>
    <t xml:space="preserve">R02 ครู/อาจารย์; R06 แกนนำนักเรียน</t>
  </si>
  <si>
    <t xml:space="preserve">ห้องเรียน / ชมรม</t>
  </si>
  <si>
    <t xml:space="preserve">ช่วง 1 ครูทดลองเล่นเกมก่อนใช้จริง
ช่วง 2 จัดกิจกรรมเล่นเกมในห้องเรียน
ช่วง 3 ถอดบทเรียนหลังเล่นร่วมกับนักเรียน
ช่วง 4 ให้แกนนำนักเรียนนำเล่นกับห้องอื่น</t>
  </si>
  <si>
    <t xml:space="preserve">ชุดบอร์ดเกม 1 ชุดต่อกลุ่ม 6 คน, คาบกิจกรรม 1 คาบ</t>
  </si>
  <si>
    <t xml:space="preserve">นักเรียนสนุกแต่ไม่เชื่อมโยงกับชีวิตจริง; ชุดเกมไม่พอต่อจำนวนนักเรียน</t>
  </si>
  <si>
    <t xml:space="preserve">มีช่วงถอดบทเรียนหลังเล่นทุกครั้ง; ครูผู้นำเกมเข้าใจกติกา</t>
  </si>
  <si>
    <t xml:space="preserve">จำนวนนักเรียนที่เข้าร่วม; ทักษะปฏิเสธก่อน–หลัง</t>
  </si>
  <si>
    <t xml:space="preserve">T08, T12</t>
  </si>
  <si>
    <t xml:space="preserve">T18.pdf</t>
  </si>
  <si>
    <t xml:space="preserve">สื่อเรียนรู้สำหรับนักเรียนอาชีวะที่เริ่มใช้หรือใช้แล้ว</t>
  </si>
  <si>
    <t xml:space="preserve">G05 นักเรียนอาชีวศึกษา;</t>
  </si>
  <si>
    <t xml:space="preserve">ดูแลคนที่ใช้แล้ว</t>
  </si>
  <si>
    <t xml:space="preserve">R03 บุคลากรในสถานศึกษา; R06 แกนนำนักเรียน</t>
  </si>
  <si>
    <t xml:space="preserve">สถาบันอาชีวศึกษา</t>
  </si>
  <si>
    <t xml:space="preserve">IP-02, IP-04</t>
  </si>
  <si>
    <t xml:space="preserve">ช่วง 1 เตรียมสื่อและพื้นที่จัดแสดง
ช่วง 2 ให้นักเรียนอาชีวะใช้สื่อเป็นกลุ่มย่อย
ช่วง 3 พูดคุยต่อยอดกับผู้ที่สนใจเลิก
ช่วง 4 ส่งต่อผู้ที่ต้องการเลิกไปยังช่องทางช่วยเลิก</t>
  </si>
  <si>
    <t xml:space="preserve">พื้นที่จัดแสดง, ครูผู้ดูแลกิจกรรม</t>
  </si>
  <si>
    <t xml:space="preserve">ผู้ที่ใช้แล้วไม่กล้าเปิดเผยตัว; ไม่มีช่องทางส่งต่อที่ชัดเจน</t>
  </si>
  <si>
    <t xml:space="preserve">บรรยากาศไม่ตัดสินผู้ใช้; มีช่องทางส่งต่อพร้อม</t>
  </si>
  <si>
    <t xml:space="preserve">จำนวนผู้เข้าร่วม; จำนวนผู้ขอความช่วยเหลือ</t>
  </si>
  <si>
    <t xml:space="preserve">T28, T20</t>
  </si>
  <si>
    <t xml:space="preserve">T19.pdf</t>
  </si>
  <si>
    <t xml:space="preserve">สื่อเผยแพร่</t>
  </si>
  <si>
    <t xml:space="preserve">สื่อรณรงค์พร้อมข้อมูลช่องทางเลิกบุหรี่ไฟฟ้า</t>
  </si>
  <si>
    <t xml:space="preserve">R06 แกนนำนักเรียน</t>
  </si>
  <si>
    <t xml:space="preserve">R02 ครู/อาจารย์; R13 แกนนำชุมชน</t>
  </si>
  <si>
    <t xml:space="preserve">โรงเรียน / ออนไลน์</t>
  </si>
  <si>
    <t xml:space="preserve">เสริม</t>
  </si>
  <si>
    <t xml:space="preserve">IP-03, IP-04, IP-07</t>
  </si>
  <si>
    <t xml:space="preserve">สื่อสารรณรงค์</t>
  </si>
  <si>
    <t xml:space="preserve">ช่วง 1 เลือกสื่อที่เหมาะกับกลุ่มเป้าหมาย
ช่วง 2 เผยแพร่ในพื้นที่จริงและช่องทางออนไลน์
ช่วง 3 เพิ่มข้อมูลช่องทางเลิกในทุกชิ้นสื่อ
ช่วง 4 ทบทวนการเข้าถึงและปรับสื่อ</t>
  </si>
  <si>
    <t xml:space="preserve">งบพิมพ์สื่อ, ช่องทางเผยแพร่ออนไลน์</t>
  </si>
  <si>
    <t xml:space="preserve">สื่อถูกติดแล้วไม่มีคนอ่าน; ข้อมูลช่องทางเลิกไม่เป็นปัจจุบัน</t>
  </si>
  <si>
    <t xml:space="preserve">ติดสื่อในจุดที่คนผ่านจริง; ตรวจสอบข้อมูลช่องทางเลิกก่อนเผยแพร่</t>
  </si>
  <si>
    <t xml:space="preserve">จำนวนชิ้นสื่อที่เผยแพร่; จำนวนผู้ติดต่อช่องทางเลิก</t>
  </si>
  <si>
    <t xml:space="preserve">T18, T27</t>
  </si>
  <si>
    <t xml:space="preserve">T20.pdf</t>
  </si>
  <si>
    <t xml:space="preserve">ชุดความรู้สำหรับสื่อสารกับคนวัยทำงาน</t>
  </si>
  <si>
    <t xml:space="preserve">G07 พนักงาน/วัยทำงาน;</t>
  </si>
  <si>
    <t xml:space="preserve">R23 บุคลากรในสถานประกอบการ; R24 แกนนำในสถานประกอบการ</t>
  </si>
  <si>
    <t xml:space="preserve">R10 เจ้าหน้าที่สาธารณสุข; R13 แกนนำชุมชน</t>
  </si>
  <si>
    <t xml:space="preserve">สถานประกอบการ</t>
  </si>
  <si>
    <t xml:space="preserve">IP-09</t>
  </si>
  <si>
    <t xml:space="preserve">ช่วง 1 เลือกชุดความรู้ที่ตรงกับลักษณะงาน
ช่วง 2 สื่อสารผ่านช่องทางภายในองค์กร
ช่วง 3 จัดกิจกรรมสั้นในช่วงพักหรือประชุมประจำเดือน
ช่วง 4 สรุปผลเสนอฝ่ายบุคคล</t>
  </si>
  <si>
    <t xml:space="preserve">ช่องทางสื่อสารภายใน, เวลาในวาระประชุม</t>
  </si>
  <si>
    <t xml:space="preserve">พนักงานไม่มีเวลาเข้าร่วม; ฝ่ายบริหารไม่สนับสนุน</t>
  </si>
  <si>
    <t xml:space="preserve">ผู้บริหารอนุมัติเวลาให้จัดกิจกรรม; ใช้ช่องทางที่พนักงานอ่านจริง</t>
  </si>
  <si>
    <t xml:space="preserve">จำนวนพนักงานที่เข้าถึงสื่อ; จำนวนกิจกรรมที่จัด</t>
  </si>
  <si>
    <t xml:space="preserve">T21.pdf</t>
  </si>
  <si>
    <t xml:space="preserve">ชุดสื่อสร้างความตระหนักรู้เรื่องบุหรี่ไฟฟ้าสำหรับประชาชน</t>
  </si>
  <si>
    <t xml:space="preserve">R13 แกนนำชุมชน; R15 อสม.</t>
  </si>
  <si>
    <t xml:space="preserve">R10 เจ้าหน้าที่สาธารณสุข; R14 แกนนำ อปท.; R24 แกนนำในสถานประกอบการ</t>
  </si>
  <si>
    <t xml:space="preserve">ชุมชน / ที่สาธารณะ</t>
  </si>
  <si>
    <t xml:space="preserve">IP-06, IP-07, IP-09</t>
  </si>
  <si>
    <t xml:space="preserve">ช่วง 1 เลือกชุดสื่อที่ตรงกับกลุ่มเป้าหมาย
ช่วง 2 ติดตั้งและเผยแพร่ในจุดชุมชน
ช่วง 3 ใช้ประกอบกิจกรรมหรือเวทีชุมชน
ช่วง 4 ทบทวนและหมุนเวียนจุดติดตั้ง</t>
  </si>
  <si>
    <t xml:space="preserve">งบพิมพ์, จุดติดตั้งในชุมชน</t>
  </si>
  <si>
    <t xml:space="preserve">สื่อเก่าและถูกมองข้าม; ติดในจุดที่คนไม่ผ่าน</t>
  </si>
  <si>
    <t xml:space="preserve">หมุนเวียนจุดติดตั้ง; ใช้คู่กับกิจกรรมที่มีคนร่วม</t>
  </si>
  <si>
    <t xml:space="preserve">จำนวนจุดที่เผยแพร่; จำนวนผู้เข้าร่วมกิจกรรมที่ใช้สื่อ</t>
  </si>
  <si>
    <t xml:space="preserve">T23, T15</t>
  </si>
  <si>
    <t xml:space="preserve">T22.pdf</t>
  </si>
  <si>
    <t xml:space="preserve">นิทรรศการเคลื่อนที่ให้ผู้ร่วมงานรู้ทันกลลวงบุหรี่ไฟฟ้า</t>
  </si>
  <si>
    <t xml:space="preserve">R10 เจ้าหน้าที่สาธารณสุข; R14 แกนนำ อปท.</t>
  </si>
  <si>
    <t xml:space="preserve">R01 ผู้บริหารสถานศึกษา; R13 แกนนำชุมชน; R15 อสม.; R24 แกนนำในสถานประกอบการ</t>
  </si>
  <si>
    <t xml:space="preserve">งานชุมชน / โรงเรียน / ที่ทำงาน</t>
  </si>
  <si>
    <t xml:space="preserve">IP-07, IP-09</t>
  </si>
  <si>
    <t xml:space="preserve">ช่วง 1 ประสานยืมนิทรรศการและกำหนดวันจัด
ช่วง 2 จัดแสดงในงานชุมชนหรือสถานศึกษา
ช่วง 3 จัดทีมประจำบูธให้ข้อมูล
ช่วง 4 เก็บข้อมูลผู้เข้าชมและสรุปผล</t>
  </si>
  <si>
    <t xml:space="preserve">พื้นที่จัดแสดง, ทีมประจำบูธ 2–3 คน, ค่าขนส่งชุดนิทรรศการ</t>
  </si>
  <si>
    <t xml:space="preserve">จองชุดนิทรรศการไม่ทัน; ไม่มีคนประจำบูธ</t>
  </si>
  <si>
    <t xml:space="preserve">จองล่วงหน้าอย่างน้อย 1 เดือน; มีทีมประจำบูธตลอดงาน</t>
  </si>
  <si>
    <t xml:space="preserve">จำนวนผู้เข้าชม; จำนวนงานที่จัดได้</t>
  </si>
  <si>
    <t xml:space="preserve">T22, T11</t>
  </si>
  <si>
    <t xml:space="preserve">T23.pdf</t>
  </si>
  <si>
    <t xml:space="preserve">หลักสูตร</t>
  </si>
  <si>
    <t xml:space="preserve">แผนการจัดการเรียนรู้สำหรับครูศูนย์พัฒนาเด็กเล็ก</t>
  </si>
  <si>
    <t xml:space="preserve">G01 เด็กเล็ก (ศพด.);</t>
  </si>
  <si>
    <t xml:space="preserve">R01 ผู้บริหารสถานศึกษา; R11 ผู้ปกครอง; R14 แกนนำ อปท.</t>
  </si>
  <si>
    <t xml:space="preserve">ศูนย์พัฒนาเด็กเล็ก</t>
  </si>
  <si>
    <t xml:space="preserve">ช่วง 1 ครู ศพด. ศึกษาแผนการสอน
ช่วง 2 สอนตามแผนสัปดาห์ละ 1 ครั้ง
ช่วง 3 ส่งกิจกรรมให้ผู้ปกครองทำต่อที่บ้าน
ช่วง 4 สังเกตพฤติกรรมเด็กและสรุปผล</t>
  </si>
  <si>
    <t xml:space="preserve">แผนการสอน, สื่อประกอบสำหรับเด็กเล็ก</t>
  </si>
  <si>
    <t xml:space="preserve">เนื้อหายากเกินวัยถ้าไม่ปรับภาษา; ผู้ปกครองไม่ร่วมมือ</t>
  </si>
  <si>
    <t xml:space="preserve">ครูปรับภาษาให้เหมาะกับเด็กเล็ก; สื่อสารกับผู้ปกครองสม่ำเสมอ</t>
  </si>
  <si>
    <t xml:space="preserve">จำนวนครั้งที่สอนตามแผน; ผลสังเกตพฤติกรรมเด็ก</t>
  </si>
  <si>
    <t xml:space="preserve">T24.pdf</t>
  </si>
  <si>
    <t xml:space="preserve">ความรู้/งานวิจัย</t>
  </si>
  <si>
    <t xml:space="preserve">ข้อมูลสถานการณ์การควบคุมยาสูบสำหรับอ้างอิงเชิงนโยบาย</t>
  </si>
  <si>
    <t xml:space="preserve">R01 ผู้บริหารสถานศึกษา; R10 เจ้าหน้าที่สาธารณสุข; R13 แกนนำชุมชน; R14 แกนนำ อปท.</t>
  </si>
  <si>
    <t xml:space="preserve">ใช้อ้างอิง</t>
  </si>
  <si>
    <t xml:space="preserve">อ้างอิง</t>
  </si>
  <si>
    <t xml:space="preserve">ช่วง 1 ดาวน์โหลดฉบับล่าสุด
ช่วง 2 เลือกข้อมูลที่ตรงกับพื้นที่
ช่วง 3 ใช้ประกอบการเสนอแผนหรือของบประมาณ
ช่วง 4 อ้างอิงแหล่งข้อมูลทุกครั้ง</t>
  </si>
  <si>
    <t xml:space="preserve">ไฟล์รายงานฉบับล่าสุด</t>
  </si>
  <si>
    <t xml:space="preserve">ข้อมูลล้าสมัยถ้าไม่ใช้ฉบับใหม่</t>
  </si>
  <si>
    <t xml:space="preserve">ตรวจปีที่เผยแพร่ก่อนใช้</t>
  </si>
  <si>
    <t xml:space="preserve">จำนวนครั้งที่ใช้อ้างอิงในเอกสารเสนอ</t>
  </si>
  <si>
    <t xml:space="preserve">T25.pdf</t>
  </si>
  <si>
    <t xml:space="preserve">บทความข้อมูลเชิงลึกเรื่องบุหรี่ไฟฟ้าสำหรับใช้ให้ความรู้</t>
  </si>
  <si>
    <t xml:space="preserve">R02 ครู/อาจารย์; R10 เจ้าหน้าที่สาธารณสุข; R13 แกนนำชุมชน; R16 เภสัชกรปฐมภูมิ</t>
  </si>
  <si>
    <t xml:space="preserve">ช่วง 1 อ่านบทความและสรุปประเด็นหลัก
ช่วง 2 แปลงเป็นข้อความสั้นสำหรับสื่อสาร
ช่วง 3 ใช้ประกอบการให้คำแนะนำ
ช่วง 4 อัปเดตเมื่อมีบทความใหม่</t>
  </si>
  <si>
    <t xml:space="preserve">ไฟล์บทความ</t>
  </si>
  <si>
    <t xml:space="preserve">ข้อมูลเชิงลึกเกินไปสำหรับประชาชนทั่วไป</t>
  </si>
  <si>
    <t xml:space="preserve">ย่อยเป็นภาษาง่ายก่อนสื่อสาร</t>
  </si>
  <si>
    <t xml:space="preserve">จำนวนครั้งที่ใช้ประกอบการให้คำแนะนำ</t>
  </si>
  <si>
    <t xml:space="preserve">T26.pdf</t>
  </si>
  <si>
    <t xml:space="preserve">กลไก/เครือข่าย</t>
  </si>
  <si>
    <t xml:space="preserve">กลไกชมรมเยาวชนที่ขับเคลื่อนเรื่องบุหรี่ไฟฟ้าด้วยตัวเอง</t>
  </si>
  <si>
    <t xml:space="preserve">G03 นักเรียนมัธยม; G04 นักศึกษาอุดมศึกษา; G06 เยาวชนนอกระบบการศึกษา;</t>
  </si>
  <si>
    <t xml:space="preserve">R06 แกนนำนักเรียน; R07 แกนนำนักศึกษา</t>
  </si>
  <si>
    <t xml:space="preserve">ชมรมในสถานศึกษา / ศูนย์การเรียนรู้</t>
  </si>
  <si>
    <t xml:space="preserve">ตั้งกลุ่ม/ชมรม</t>
  </si>
  <si>
    <t xml:space="preserve">ช่วง 1 รับสมัครแกนนำและตั้งชมรม
ช่วง 2 อบรมแกนนำและวางแผนกิจกรรมประจำปี
ช่วง 3 จัดกิจกรรมโดยแกนนำอย่างน้อยเดือนละครั้ง
ช่วง 4 ถอดบทเรียนและส่งต่อรุ่นถัดไป</t>
  </si>
  <si>
    <t xml:space="preserve">ครูที่ปรึกษา, พื้นที่ประชุมชมรม, งบกิจกรรม</t>
  </si>
  <si>
    <t xml:space="preserve">แกนนำจบการศึกษาแล้วชมรมหยุด; กิจกรรมกระจุกที่คนไม่กี่คน</t>
  </si>
  <si>
    <t xml:space="preserve">มีครูที่ปรึกษาประจำ; มีระบบส่งต่อรุ่น</t>
  </si>
  <si>
    <t xml:space="preserve">จำนวนแกนนำ; จำนวนกิจกรรมที่จัด; จำนวนผู้เข้าร่วม</t>
  </si>
  <si>
    <t xml:space="preserve">T20, T18</t>
  </si>
  <si>
    <t xml:space="preserve">T27.pdf</t>
  </si>
  <si>
    <t xml:space="preserve">ตาราง Flagship 11 พ.ค. + โมเดล IP</t>
  </si>
  <si>
    <t xml:space="preserve">อุปกรณ์</t>
  </si>
  <si>
    <t xml:space="preserve">สติกเกอร์ช่วยลดการใช้บุหรี่ไฟฟ้า เชื่อมเข้าสู่ระบบช่วยเลิก</t>
  </si>
  <si>
    <t xml:space="preserve">R10 เจ้าหน้าที่สาธารณสุข; R15 อสม.; R16 เภสัชกรปฐมภูมิ</t>
  </si>
  <si>
    <t xml:space="preserve">R06 แกนนำนักเรียน; R07 แกนนำนักศึกษา; R24 แกนนำในสถานประกอบการ</t>
  </si>
  <si>
    <t xml:space="preserve">จุดบริการสุขภาพ / สถานศึกษา / ชุมชน</t>
  </si>
  <si>
    <t xml:space="preserve">IP-04, IP-08, IP-09</t>
  </si>
  <si>
    <t xml:space="preserve">ช่วง 1 เตรียมสติกเกอร์และจุดแจก
ช่วง 2 แนะนำวิธีใช้ให้ผู้ที่อยากลด/เลิก
ช่วง 3 ติดตามผลราย 2 สัปดาห์
ช่วง 4 ส่งต่อผู้ที่ต้องการความช่วยเหลือเพิ่มไปยังสายด่วน 1600 หรือ รพ.สต.</t>
  </si>
  <si>
    <t xml:space="preserve">สติกเกอร์, จุดบริการ, แบบติดตามผล</t>
  </si>
  <si>
    <t xml:space="preserve">ผู้ใช้เลิกกลางคัน; ไม่มีระบบติดตามต่อเนื่อง</t>
  </si>
  <si>
    <t xml:space="preserve">มีผู้ติดตามผลประจำ; เชื่อมกับหน่วยบริการในพื้นที่</t>
  </si>
  <si>
    <t xml:space="preserve">จำนวนผู้รับสติกเกอร์; จำนวนผู้ที่ลดหรือเลิกได้; จำนวนที่ส่งต่อ</t>
  </si>
  <si>
    <t xml:space="preserve">T20, T11</t>
  </si>
  <si>
    <t xml:space="preserve">T28.pdf</t>
  </si>
  <si>
    <t xml:space="preserve">นวัตกรรมนักศึกษาอาชีวะ (พบข้อมูลเผยแพร่)</t>
  </si>
  <si>
    <t xml:space="preserve">9 เป้าหมาย = 9 Intervention Package</t>
  </si>
  <si>
    <t xml:space="preserve">ตัวเลขสถานการณ์คำนวณจากชีต 04 อัตโนมัติ</t>
  </si>
  <si>
    <t xml:space="preserve">รหัส IP</t>
  </si>
  <si>
    <t xml:space="preserve">ชื่อแพ็กเกจ</t>
  </si>
  <si>
    <t xml:space="preserve">มาตรการ (MS)</t>
  </si>
  <si>
    <t xml:space="preserve">บทบาทที่ใช้ได้</t>
  </si>
  <si>
    <t xml:space="preserve">พื้นที่</t>
  </si>
  <si>
    <t xml:space="preserve">สถานการณ์ทั้งหมด</t>
  </si>
  <si>
    <t xml:space="preserve">มีเครื่องมือหลัก</t>
  </si>
  <si>
    <t xml:space="preserve">มีเฉพาะเสริม</t>
  </si>
  <si>
    <t xml:space="preserve">ไม่มีเครื่องมือ</t>
  </si>
  <si>
    <t xml:space="preserve">ไฟล์แผน</t>
  </si>
  <si>
    <t xml:space="preserve">ข้อจำกัดที่ต้องบอกผู้ใช้</t>
  </si>
  <si>
    <t xml:space="preserve">สถานศึกษาปลอดบุหรี่ไฟฟ้าทั้งระบบ</t>
  </si>
  <si>
    <t xml:space="preserve">สถานศึกษามีนโยบาย คณะทำงาน และสภาพแวดล้อมที่ไม่เอื้อต่อการใช้บุหรี่ไฟฟ้า</t>
  </si>
  <si>
    <t xml:space="preserve">MS1, MS2, MS3</t>
  </si>
  <si>
    <t xml:space="preserve">R01 ผู้บริหารสถานศึกษา; R03 บุคลากรในสถานศึกษา; R08 ทีมผู้บริหารและครู</t>
  </si>
  <si>
    <t xml:space="preserve">สถานศึกษา (ทั้งโรงเรียน/มหาวิทยาลัย)</t>
  </si>
  <si>
    <t xml:space="preserve">ป้องกัน (อุดมศึกษาครอบคลุมการดูแลผู้ที่ใช้แล้วด้วย)</t>
  </si>
  <si>
    <t xml:space="preserve">IP-01.pdf</t>
  </si>
  <si>
    <t xml:space="preserve">มาตรการ MS2 และ MS3 ไม่มีเครื่องมือเฉพาะ ต้องใช้หัวข้อภายใน T01</t>
  </si>
  <si>
    <t xml:space="preserve">ห้องเรียนรู้เท่าทันบุหรี่ไฟฟ้า</t>
  </si>
  <si>
    <t xml:space="preserve">เด็กและเยาวชนมีความรอบรู้และทักษะปฏิเสธเมื่อถูกชักชวน</t>
  </si>
  <si>
    <t xml:space="preserve">สถานศึกษา (ห้องเรียน/ศพด.)</t>
  </si>
  <si>
    <t xml:space="preserve">ป้องกัน (กลุ่มอาชีวะใช้ระดับดูแลผู้ที่ใช้แล้ว)</t>
  </si>
  <si>
    <t xml:space="preserve">IP-02.pdf</t>
  </si>
  <si>
    <t xml:space="preserve">ไม่มีเครื่องมือการเรียนการสอนสำหรับอุดมศึกษา</t>
  </si>
  <si>
    <t xml:space="preserve">แกนนำเยาวชนขับเคลื่อนเอง</t>
  </si>
  <si>
    <t xml:space="preserve">มีชมรมหรือแกนนำที่ออกแบบและจัดกิจกรรมเรื่องบุหรี่ไฟฟ้าได้เอง</t>
  </si>
  <si>
    <t xml:space="preserve">สถานศึกษา / ชมรม</t>
  </si>
  <si>
    <t xml:space="preserve">IP-03.pdf</t>
  </si>
  <si>
    <t xml:space="preserve">ไม่มีคู่มือขั้นตอนการตั้งชมรมในคลัง</t>
  </si>
  <si>
    <t xml:space="preserve">ดูแลช่วยเหลือผู้ที่ใช้แล้วในสถานศึกษา</t>
  </si>
  <si>
    <t xml:space="preserve">ผู้ที่เริ่มใช้หรือใช้แล้วได้รับการดูแลให้ลด ละ เลิก และถูกส่งต่อเมื่อจำเป็น</t>
  </si>
  <si>
    <t xml:space="preserve">R02 ครู/อาจารย์; R03 บุคลากรในสถานศึกษา; R06 แกนนำนักเรียน; R07 แกนนำนักศึกษา</t>
  </si>
  <si>
    <t xml:space="preserve">สถานศึกษา → ส่งต่อ รพ.สต./สายด่วน 1600</t>
  </si>
  <si>
    <t xml:space="preserve">IP-04.pdf</t>
  </si>
  <si>
    <t xml:space="preserve">นักเรียนมัธยมยังไม่มีเครื่องมือระดับดูแลผู้ที่ใช้แล้วโดยตรง</t>
  </si>
  <si>
    <t xml:space="preserve">บ้านปลอดควัน ครอบครัวช่วยเลิก</t>
  </si>
  <si>
    <t xml:space="preserve">บ้านเป็นพื้นที่ปลอดควัน และคนในบ้านที่สูบได้รับการชวนให้ลด ละ เลิก</t>
  </si>
  <si>
    <t xml:space="preserve">R11 ผู้ปกครอง; R18 แกนนำชุมชนมุสลิม; R19 คณะกรรมการมัสยิด</t>
  </si>
  <si>
    <t xml:space="preserve">ครอบครัว / บ้าน</t>
  </si>
  <si>
    <t xml:space="preserve">ทั้งป้องกันและดูแลคนที่ใช้แล้ว</t>
  </si>
  <si>
    <t xml:space="preserve">IP-05.pdf</t>
  </si>
  <si>
    <t xml:space="preserve">ไม่มีเครื่องมือสำหรับเด็กเล็กที่บ้าน หลังตัด T17</t>
  </si>
  <si>
    <t xml:space="preserve">ชุมชนและศาสนสถานปลอดบุหรี่ไฟฟ้า</t>
  </si>
  <si>
    <t xml:space="preserve">ชุมชนมีเขตปลอดบุหรี่ที่ประกาศชัด และมีการเฝ้าระวังพื้นที่กับแหล่งขายรอบพื้นที่เด็ก</t>
  </si>
  <si>
    <t xml:space="preserve">MS-C1, MS-C2</t>
  </si>
  <si>
    <t xml:space="preserve">R13 แกนนำชุมชน; R14 แกนนำ อปท.; R18 แกนนำชุมชนมุสลิม; R19 คณะกรรมการมัสยิด</t>
  </si>
  <si>
    <t xml:space="preserve">ชุมชน / วัด / มัสยิด</t>
  </si>
  <si>
    <t xml:space="preserve">IP-06.pdf</t>
  </si>
  <si>
    <t xml:space="preserve">ไม่มีเครื่องมือเฝ้าระวังร้านค้าและออนไลน์ หลังตัด T02 และ T03 และไม่มีแนวปฏิบัติสำหรับวัด</t>
  </si>
  <si>
    <t xml:space="preserve">สื่อสารรณรงค์ในงานและเทศกาลชุมชน</t>
  </si>
  <si>
    <t xml:space="preserve">คนในชุมชนรู้เท่าทันกลลวงบุหรี่ไฟฟ้า ผ่านเวทีงานประเพณีและกิจกรรมร่วมโรงเรียน–ชุมชน</t>
  </si>
  <si>
    <t xml:space="preserve">MS-C3, MS7</t>
  </si>
  <si>
    <t xml:space="preserve">R10 เจ้าหน้าที่สาธารณสุข; R13 แกนนำชุมชน; R14 แกนนำ อปท.; R15 อสม.</t>
  </si>
  <si>
    <t xml:space="preserve">ชุมชน / งานประเพณี / โรงเรียน</t>
  </si>
  <si>
    <t xml:space="preserve">IP-07.pdf</t>
  </si>
  <si>
    <t xml:space="preserve">ไม่ทราบวิธียืมชุดนิทรรศการและจำนวนชุดที่มี</t>
  </si>
  <si>
    <t xml:space="preserve">เชื่อมระบบช่วยเลิกในระบบบริการสุขภาพ</t>
  </si>
  <si>
    <t xml:space="preserve">คนที่อยากเลิกเข้าถึงบริการช่วยเลิกได้จริง และมีเส้นทางส่งต่อจากโรงเรียนและชุมชน</t>
  </si>
  <si>
    <t xml:space="preserve">ระบบบริการสุขภาพ / รพ.สต.</t>
  </si>
  <si>
    <t xml:space="preserve">IP-08.pdf</t>
  </si>
  <si>
    <t xml:space="preserve">มีเครื่องมือเดียวคือ T28 และไม่มีแนวทางบำบัดหรือติดตามผลในคลัง</t>
  </si>
  <si>
    <t xml:space="preserve">สถานประกอบการปลอดบุหรี่ไฟฟ้า</t>
  </si>
  <si>
    <t xml:space="preserve">พนักงานรู้เท่าทันบุหรี่ไฟฟ้า และที่ทำงานมีแนวปฏิบัติเรื่องนี้</t>
  </si>
  <si>
    <t xml:space="preserve">ไม่มีในโมเดล</t>
  </si>
  <si>
    <t xml:space="preserve">ป้องกันเป็นหลัก (ระดับดูแลผู้ที่ใช้แล้วยังขาดเครื่องมือ)</t>
  </si>
  <si>
    <t xml:space="preserve">IP-09.pdf</t>
  </si>
  <si>
    <t xml:space="preserve">ไม่มีในโมเดล IP และไม่มีเครื่องมือระดับดูแลผู้ที่ใช้แล้วสำหรับวัยทำงาน</t>
  </si>
  <si>
    <t xml:space="preserve">สถานการณ์ครบทุกช่อง (IP × กลุ่มเป้าหมาย × บทบาท × ระดับ)</t>
  </si>
  <si>
    <t xml:space="preserve">ไล่ทุกชุดค่าผสมที่เป็นไปได้ ช่องที่ไม่มีเครื่องมือเขียนว่า 'ไม่มีเครื่องมือในคลัง' ไม่เว้นว่าง</t>
  </si>
  <si>
    <t xml:space="preserve">ชุด</t>
  </si>
  <si>
    <t xml:space="preserve">บทบาท (R)</t>
  </si>
  <si>
    <t xml:space="preserve">① เครื่องมือหลัก</t>
  </si>
  <si>
    <t xml:space="preserve">② เครื่องมือเสริม</t>
  </si>
  <si>
    <t xml:space="preserve">③ เครื่องมือวัดผล</t>
  </si>
  <si>
    <t xml:space="preserve">④ อ้างอิง</t>
  </si>
  <si>
    <t xml:space="preserve">หมายเหตุ</t>
  </si>
  <si>
    <t xml:space="preserve">S1</t>
  </si>
  <si>
    <t xml:space="preserve">R01 ผู้บริหารสถานศึกษา</t>
  </si>
  <si>
    <t xml:space="preserve">G02 นักเรียนประถม</t>
  </si>
  <si>
    <t xml:space="preserve">T01 7 มาตรการโรงเรียนปลอดบุหรี่ / 7 องค์ประกอบ (อุดมศึกษา)</t>
  </si>
  <si>
    <t xml:space="preserve">ไม่มีเครื่องมือในคลัง</t>
  </si>
  <si>
    <t xml:space="preserve">SC-002</t>
  </si>
  <si>
    <t xml:space="preserve">SC-003</t>
  </si>
  <si>
    <t xml:space="preserve">G04 นักศึกษาอุดมศึกษา</t>
  </si>
  <si>
    <t xml:space="preserve">T01 7 มาตรการโรงเรียนปลอดบุหรี่ / 7 องค์ประกอบ (อุดมศึกษา); T04 คู่มือการใช้งาน Uni-Health Platform; T05 แนวปฏิบัติมาตรฐาน (SOP Harmony)</t>
  </si>
  <si>
    <t xml:space="preserve">T13 แบบสอบถาม Uni-Health Platform</t>
  </si>
  <si>
    <t xml:space="preserve">SC-004</t>
  </si>
  <si>
    <t xml:space="preserve">T04 คู่มือการใช้งาน Uni-Health Platform; T05 แนวปฏิบัติมาตรฐาน (SOP Harmony)</t>
  </si>
  <si>
    <t xml:space="preserve">SC-005</t>
  </si>
  <si>
    <t xml:space="preserve">R08 ทีมผู้บริหารและครู</t>
  </si>
  <si>
    <t xml:space="preserve">SC-006</t>
  </si>
  <si>
    <t xml:space="preserve">SC-007</t>
  </si>
  <si>
    <t xml:space="preserve">T11 แบบสำรวจพฤติกรรมบุหรี่และบุหรี่ไฟฟ้า; T13 แบบสอบถาม Uni-Health Platform; T14 แบบประเมินความรู้ด้านสุขภาวะฯ สำหรับเยาวชนกลุ่มชาติพันธุ์</t>
  </si>
  <si>
    <t xml:space="preserve">SC-008</t>
  </si>
  <si>
    <t xml:space="preserve">SC-009</t>
  </si>
  <si>
    <t xml:space="preserve">G01 เด็กเล็ก (ศพด.)</t>
  </si>
  <si>
    <t xml:space="preserve">T24 แผนการจัดการเรียนรู้เตือนภัยบุหรี่ไฟฟ้า สำหรับครู ศพด.</t>
  </si>
  <si>
    <t xml:space="preserve">SC-010</t>
  </si>
  <si>
    <t xml:space="preserve">T08 คู่มือกิจกรรมบุหรี่ไฟฟ้าสำหรับครูและผู้ปกครอง; T16 Child Impact Platform</t>
  </si>
  <si>
    <t xml:space="preserve">T09 แบบทดสอบความรอบรู้ทางสุขภาพด้านการควบคุมยาสูบ; T12 แบบประเมินความรอบรู้เรื่องบุหรี่ไฟฟ้า</t>
  </si>
  <si>
    <t xml:space="preserve">SC-011</t>
  </si>
  <si>
    <t xml:space="preserve">T08 คู่มือกิจกรรมบุหรี่ไฟฟ้าสำหรับครูและผู้ปกครอง; T16 Child Impact Platform; T18 บอร์ดเกม Just Say No</t>
  </si>
  <si>
    <t xml:space="preserve">T09 แบบทดสอบความรอบรู้ทางสุขภาพด้านการควบคุมยาสูบ; T11 แบบสำรวจพฤติกรรมบุหรี่และบุหรี่ไฟฟ้า; T12 แบบประเมินความรอบรู้เรื่องบุหรี่ไฟฟ้า; T14 แบบประเมินความรู้ด้านสุขภาวะฯ สำหรับเยาวชนกลุ่มชาติพันธุ์</t>
  </si>
  <si>
    <t xml:space="preserve">SC-012</t>
  </si>
  <si>
    <t xml:space="preserve">G05 นักเรียนอาชีวศึกษา</t>
  </si>
  <si>
    <t xml:space="preserve">T19 Vape Truth Mirror</t>
  </si>
  <si>
    <t xml:space="preserve">SC-013</t>
  </si>
  <si>
    <t xml:space="preserve">SC-014</t>
  </si>
  <si>
    <t xml:space="preserve">มีเฉพาะเครื่องมือเสริม</t>
  </si>
  <si>
    <t xml:space="preserve">บทบาทนี้เป็นผู้ร่วม ไม่ใช่ผู้เริ่ม ระบบควรแนะนำให้ชวนผู้ดำเนินการหลักมาร่วมด้วย</t>
  </si>
  <si>
    <t xml:space="preserve">SC-015</t>
  </si>
  <si>
    <t xml:space="preserve">ตั้งกลุ่ม/ชมรม, สื่อสารรณรงค์</t>
  </si>
  <si>
    <t xml:space="preserve">T20 สื่อรณรงค์บุหรี่ไฟฟ้า และเผยแพร่ช่องทางเลิกบุหรี่ไฟฟ้า; T27 Youth Club เด็กมีภูมิ</t>
  </si>
  <si>
    <t xml:space="preserve">SC-016</t>
  </si>
  <si>
    <t xml:space="preserve">R07 แกนนำนักศึกษา</t>
  </si>
  <si>
    <t xml:space="preserve">T27 Youth Club เด็กมีภูมิ</t>
  </si>
  <si>
    <t xml:space="preserve">SC-017</t>
  </si>
  <si>
    <t xml:space="preserve">ช่องว่างของคลัง ต้องขอเครื่องมือเพิ่มจาก สสส.</t>
  </si>
  <si>
    <t xml:space="preserve">SC-018</t>
  </si>
  <si>
    <t xml:space="preserve">SC-019</t>
  </si>
  <si>
    <t xml:space="preserve">T05 แนวปฏิบัติมาตรฐาน (SOP Harmony)</t>
  </si>
  <si>
    <t xml:space="preserve">SC-020</t>
  </si>
  <si>
    <t xml:space="preserve">SC-021</t>
  </si>
  <si>
    <t xml:space="preserve">SC-022</t>
  </si>
  <si>
    <t xml:space="preserve">SC-023</t>
  </si>
  <si>
    <t xml:space="preserve">S2</t>
  </si>
  <si>
    <t xml:space="preserve">R11 ผู้ปกครอง</t>
  </si>
  <si>
    <t xml:space="preserve">SC-024</t>
  </si>
  <si>
    <t xml:space="preserve">T08 คู่มือกิจกรรมบุหรี่ไฟฟ้าสำหรับครูและผู้ปกครอง</t>
  </si>
  <si>
    <t xml:space="preserve">SC-025</t>
  </si>
  <si>
    <t xml:space="preserve">SC-026</t>
  </si>
  <si>
    <t xml:space="preserve">R18 แกนนำชุมชนมุสลิม</t>
  </si>
  <si>
    <t xml:space="preserve">G08 ประชากรกลุ่มเฉพาะ (ชุมชนมุสลิม)</t>
  </si>
  <si>
    <t xml:space="preserve">T06 แนวปฏิบัติ เลิกบุหรี่เริ่มที่บ้าน / เลิกบุหรี่บ้านละคน</t>
  </si>
  <si>
    <t xml:space="preserve">SC-027</t>
  </si>
  <si>
    <t xml:space="preserve">SC-028</t>
  </si>
  <si>
    <t xml:space="preserve">R19 คณะกรรมการมัสยิด</t>
  </si>
  <si>
    <t xml:space="preserve">SC-029</t>
  </si>
  <si>
    <t xml:space="preserve">SC-030</t>
  </si>
  <si>
    <t xml:space="preserve">T07 แนวปฏิบัติ มัสยิดปลอดบุหรี่</t>
  </si>
  <si>
    <t xml:space="preserve">SC-031</t>
  </si>
  <si>
    <t xml:space="preserve">SC-032</t>
  </si>
  <si>
    <t xml:space="preserve">G10 ประชาชนทั่วไป</t>
  </si>
  <si>
    <t xml:space="preserve">T22 ชุดสื่อสร้างความตระหนักรู้</t>
  </si>
  <si>
    <t xml:space="preserve">T10 Application TUM (Tobacco Use Monitor)</t>
  </si>
  <si>
    <t xml:space="preserve">T25; T26</t>
  </si>
  <si>
    <t xml:space="preserve">SC-033</t>
  </si>
  <si>
    <t xml:space="preserve">SC-034</t>
  </si>
  <si>
    <t xml:space="preserve">T11 แบบสำรวจพฤติกรรมบุหรี่และบุหรี่ไฟฟ้า</t>
  </si>
  <si>
    <t xml:space="preserve">SC-035</t>
  </si>
  <si>
    <t xml:space="preserve">SC-036</t>
  </si>
  <si>
    <t xml:space="preserve">SC-037</t>
  </si>
  <si>
    <t xml:space="preserve">SC-038</t>
  </si>
  <si>
    <t xml:space="preserve">SC-039</t>
  </si>
  <si>
    <t xml:space="preserve">SC-040</t>
  </si>
  <si>
    <t xml:space="preserve">R10 เจ้าหน้าที่สาธารณสุข</t>
  </si>
  <si>
    <t xml:space="preserve">T23 ชุดนิทรรศการเคลื่อนที่ รู้ทันกลลวงบุหรี่ไฟฟ้า</t>
  </si>
  <si>
    <t xml:space="preserve">T10 Application TUM (Tobacco Use Monitor); T15 7 ชุดกิจกรรม ควบคุมการบริโภคบุหรี่และบุหรี่ไฟฟ้า; T22 ชุดสื่อสร้างความตระหนักรู้</t>
  </si>
  <si>
    <t xml:space="preserve">SC-041</t>
  </si>
  <si>
    <t xml:space="preserve">จัดกิจกรรมเรียนรู้, สื่อสารรณรงค์</t>
  </si>
  <si>
    <t xml:space="preserve">T15 7 ชุดกิจกรรม ควบคุมการบริโภคบุหรี่และบุหรี่ไฟฟ้า; T22 ชุดสื่อสร้างความตระหนักรู้</t>
  </si>
  <si>
    <t xml:space="preserve">SC-042</t>
  </si>
  <si>
    <t xml:space="preserve">T10 Application TUM (Tobacco Use Monitor); T23 ชุดนิทรรศการเคลื่อนที่ รู้ทันกลลวงบุหรี่ไฟฟ้า</t>
  </si>
  <si>
    <t xml:space="preserve">SC-043</t>
  </si>
  <si>
    <t xml:space="preserve">SC-044</t>
  </si>
  <si>
    <t xml:space="preserve">สำรวจสถานการณ์, สื่อสารรณรงค์</t>
  </si>
  <si>
    <t xml:space="preserve">SC-045</t>
  </si>
  <si>
    <t xml:space="preserve">SC-046</t>
  </si>
  <si>
    <t xml:space="preserve">R15 อสม.</t>
  </si>
  <si>
    <t xml:space="preserve">T10 Application TUM (Tobacco Use Monitor); T15 7 ชุดกิจกรรม ควบคุมการบริโภคบุหรี่และบุหรี่ไฟฟ้า; T23 ชุดนิทรรศการเคลื่อนที่ รู้ทันกลลวงบุหรี่ไฟฟ้า</t>
  </si>
  <si>
    <t xml:space="preserve">SC-047</t>
  </si>
  <si>
    <t xml:space="preserve">T15 7 ชุดกิจกรรม ควบคุมการบริโภคบุหรี่และบุหรี่ไฟฟ้า</t>
  </si>
  <si>
    <t xml:space="preserve">SC-048</t>
  </si>
  <si>
    <t xml:space="preserve">T28 สติ๊กเกอร์ลดบุหรี่ QuitUP!</t>
  </si>
  <si>
    <t xml:space="preserve">SC-049</t>
  </si>
  <si>
    <t xml:space="preserve">SC-050</t>
  </si>
  <si>
    <t xml:space="preserve">R16 เภสัชกรปฐมภูมิ</t>
  </si>
  <si>
    <t xml:space="preserve">SC-051</t>
  </si>
  <si>
    <t xml:space="preserve">S3</t>
  </si>
  <si>
    <t xml:space="preserve">R23 บุคลากรในสถานประกอบการ</t>
  </si>
  <si>
    <t xml:space="preserve">G07 พนักงาน/วัยทำงาน</t>
  </si>
  <si>
    <t xml:space="preserve">T21 ชุดเครื่องมือ ความรู้ จากสำนักเชิงประเด็นและเชิงพื้นที่</t>
  </si>
  <si>
    <t xml:space="preserve">T04 คู่มือการใช้งาน Uni-Health Platform</t>
  </si>
  <si>
    <t xml:space="preserve">SC-052</t>
  </si>
  <si>
    <t xml:space="preserve">SC-053</t>
  </si>
  <si>
    <t xml:space="preserve">R24 แกนนำในสถานประกอบการ</t>
  </si>
  <si>
    <t xml:space="preserve">SC-054</t>
  </si>
  <si>
    <t xml:space="preserve">รวม</t>
  </si>
  <si>
    <t xml:space="preserve">ชุดค่าผสมที่ตัดออกจากการไล่ พร้อมเหตุผล</t>
  </si>
  <si>
    <t xml:space="preserve">บันทึกไว้เพื่อให้ตรวจย้อนกลับได้ว่าไม่ได้ตกหล่น</t>
  </si>
  <si>
    <t xml:space="preserve">บทบาท</t>
  </si>
  <si>
    <t xml:space="preserve">กลุ่มเป้าหมาย</t>
  </si>
  <si>
    <t xml:space="preserve">เหตุผลที่ตัด</t>
  </si>
  <si>
    <t xml:space="preserve">R02</t>
  </si>
  <si>
    <t xml:space="preserve">G04</t>
  </si>
  <si>
    <t xml:space="preserve">ไม่มีเครื่องมือการเรียนการสอนสำหรับอุดมศึกษาในคลัง จึงให้ไปใช้ IP-01 แทน</t>
  </si>
  <si>
    <t xml:space="preserve">G01/G02</t>
  </si>
  <si>
    <t xml:space="preserve">งานดูแลผู้ที่ใช้แล้วไม่ใช้กับเด็กเล็กและประถม</t>
  </si>
  <si>
    <t xml:space="preserve">R18/R19</t>
  </si>
  <si>
    <t xml:space="preserve">G01–G03</t>
  </si>
  <si>
    <t xml:space="preserve">บทบาทศาสนสถานทำงานกับครอบครัวในชุมชนของตน ไม่ได้แยกตามระดับชั้น</t>
  </si>
  <si>
    <t xml:space="preserve">R13/R14</t>
  </si>
  <si>
    <t xml:space="preserve">G08 กับ G10 ซ้ำกัน</t>
  </si>
  <si>
    <t xml:space="preserve">ถ้าเป็นชุมชนมุสลิมให้ใช้แถว G08 ถ้าชุมชนทั่วไปใช้ G10</t>
  </si>
  <si>
    <t xml:space="preserve">R10/R13/R14/R15</t>
  </si>
  <si>
    <t xml:space="preserve">G02–G06</t>
  </si>
  <si>
    <t xml:space="preserve">งานรณรงค์ในเวทีชุมชนนับผู้ร่วมงานเป็นประชาชนทั่วไป</t>
  </si>
  <si>
    <t xml:space="preserve">R10/R15/R16</t>
  </si>
  <si>
    <t xml:space="preserve">ระดับป้องกัน</t>
  </si>
  <si>
    <t xml:space="preserve">ระบบช่วยเลิกทำงานกับผู้ที่ใช้แล้วเท่านั้น</t>
  </si>
  <si>
    <t xml:space="preserve">R09, R12, R17, R20, R21, R04, R05</t>
  </si>
  <si>
    <t xml:space="preserve">ทุกกลุ่ม</t>
  </si>
  <si>
    <t xml:space="preserve">บทบาทที่ไม่มีเครื่องมือหลักรองรับ ตัดออกตาม feedback</t>
  </si>
  <si>
    <t xml:space="preserve">เนื้อหาแผนของทั้ง 9 IP ตามโครงสร้าง 18 หัวข้อ</t>
  </si>
  <si>
    <t xml:space="preserve">ช่องที่มีป้าย [จำลอง] คือเนื้อหาที่ทีมเขียนขึ้นเพื่อทดสอบระบบ รอแทนที่ด้วยคู่มือจริงจาก สสส.</t>
  </si>
  <si>
    <t xml:space="preserve">หัวข้อ</t>
  </si>
  <si>
    <t xml:space="preserve">เนื้อหา</t>
  </si>
  <si>
    <t xml:space="preserve">IP-01  สถานศึกษาปลอดบุหรี่ไฟฟ้าทั้งระบบ</t>
  </si>
  <si>
    <t xml:space="preserve">1. ชื่อแพ็กเกจ + รหัส</t>
  </si>
  <si>
    <t xml:space="preserve">IP-01 สถานศึกษาปลอดบุหรี่ไฟฟ้าทั้งระบบ</t>
  </si>
  <si>
    <t xml:space="preserve">2. เป้าหมายของแพ็กเกจ</t>
  </si>
  <si>
    <t xml:space="preserve">3. สถานการณ์ของคุณ (ตัวอย่าง)</t>
  </si>
  <si>
    <t xml:space="preserve">ผู้บริหารโรงเรียนมัธยมต้องการวางระบบทั้งโรงเรียน ไม่ใช่จัดกิจกรรมเป็นครั้ง ๆ</t>
  </si>
  <si>
    <t xml:space="preserve">4. กลุ่มเป้าหมายปลายทาง</t>
  </si>
  <si>
    <t xml:space="preserve">นักเรียนประถมปลาย–มัธยม และนักศึกษาอุดมศึกษา</t>
  </si>
  <si>
    <t xml:space="preserve">5. ผู้ดำเนินการหลักและผู้ร่วม</t>
  </si>
  <si>
    <t xml:space="preserve">หลัก: ผู้บริหารสถานศึกษา, ทีมผู้บริหารและครู | ร่วม: ครู, บุคลากร, เจ้าหน้าที่สาธารณสุข (ให้คำปรึกษา)</t>
  </si>
  <si>
    <t xml:space="preserve">6. พื้นที่ดำเนินการ</t>
  </si>
  <si>
    <t xml:space="preserve">7. ระดับ Intervention</t>
  </si>
  <si>
    <t xml:space="preserve">8. มาตรการที่ผูก (MS)</t>
  </si>
  <si>
    <t xml:space="preserve">MS1 นโยบาย, MS2 บริหารจัดการ, MS3 สภาพแวดล้อม</t>
  </si>
  <si>
    <t xml:space="preserve">9. ชุดเครื่องมือ ① ② ③ ④</t>
  </si>
  <si>
    <t xml:space="preserve">① T01 (อุดมศึกษาใช้ T05, T04)  ② T16, T22  ③ T12, T11, T13  ④ T25</t>
  </si>
  <si>
    <t xml:space="preserve">10. เหตุผลที่เลือกเครื่องมือ</t>
  </si>
  <si>
    <t xml:space="preserve">T01 เป็นชุดเดียวที่ครอบคลุมนโยบาย คณะทำงาน และสภาพแวดล้อมในเอกสารเดียว ส่วนอุดมศึกษาใช้ T05 เพราะมีขั้นตอนปฏิบัติเฉพาะ [จำลอง]</t>
  </si>
  <si>
    <t xml:space="preserve">11. ขั้นตอนการดำเนินงานรายช่วง</t>
  </si>
  <si>
    <t xml:space="preserve">เดือน 1 ประชุมผู้บริหารและตั้งคณะทำงาน | เดือน 2 ประกาศนโยบายและสื่อสารทั่วสถานศึกษา | เดือน 3 สำรวจจุดเสี่ยงและติดตั้งสื่อ | เดือน 4 ประเมินผลและรายงานคณะกรรมการสถานศึกษา [จำลอง]</t>
  </si>
  <si>
    <t xml:space="preserve">12. สิ่งที่ต้องเตรียม</t>
  </si>
  <si>
    <t xml:space="preserve">คำสั่งแต่งตั้งคณะทำงาน, เวลาประชุมฝ่าย, งบป้ายและสื่อ [จำลอง]</t>
  </si>
  <si>
    <t xml:space="preserve">13. ความเสี่ยงและวิธีรับมือ</t>
  </si>
  <si>
    <t xml:space="preserve">นโยบายประกาศแล้วไม่มีคนติดตาม → กำหนดผู้รับผิดชอบรายฝ่ายและทบทวนรายเดือน; จุดเสี่ยงนอกรั้วควบคุมไม่ได้ → ประสานชุมชนตาม IP-07 [จำลอง]</t>
  </si>
  <si>
    <t xml:space="preserve">14. เงื่อนไขความสำเร็จ</t>
  </si>
  <si>
    <t xml:space="preserve">ผู้บริหารกำหนดผู้รับผิดชอบชัดเจน; มีการทบทวนผลอย่างน้อยเดือนละครั้ง [จำลอง]</t>
  </si>
  <si>
    <t xml:space="preserve">15. ตัวชี้วัดและวิธีติดตามผล</t>
  </si>
  <si>
    <t xml:space="preserve">มีประกาศนโยบายและคำสั่งคณะทำงาน; จำนวนจุดเสี่ยงที่ปรับปรุง; คะแนนความรอบรู้ของนักเรียน (T12) [จำลอง]</t>
  </si>
  <si>
    <t xml:space="preserve">16. เส้นทางส่งต่อเมื่อพบผู้ใช้</t>
  </si>
  <si>
    <t xml:space="preserve">พบนักเรียนที่ใช้แล้ว → ส่งต่อครูแนะแนวตาม IP-04 → รพ.สต. หรือสายด่วนเลิกบุหรี่ 1600</t>
  </si>
  <si>
    <t xml:space="preserve">17. ไฟล์ดาวน์โหลดและเจ้าของเครื่องมือ</t>
  </si>
  <si>
    <t xml:space="preserve">IP-01.pdf และการ์ดเครื่องมือ T01.pdf, T16.pdf, T12.pdf | เจ้าของเครื่องมือ: [รอ สสส. ยืนยัน]</t>
  </si>
  <si>
    <t xml:space="preserve">18. รหัสแผน + ช่องทาง feedback</t>
  </si>
  <si>
    <t xml:space="preserve">รหัสแผนสร้างอัตโนมัติรูปแบบ SCH-MS1-xxxx + QR ลิงก์แบบติดตามผล</t>
  </si>
  <si>
    <t xml:space="preserve">IP-02  ห้องเรียนรู้เท่าทันบุหรี่ไฟฟ้า</t>
  </si>
  <si>
    <t xml:space="preserve">ครูประจำชั้น ม.2 พบว่านักเรียนเริ่มถูกเพื่อนชวนใช้บุหรี่ไฟฟ้า</t>
  </si>
  <si>
    <t xml:space="preserve">เด็กเล็ก (ศพด.), ประถม, มัธยม, อาชีวศึกษา และเยาวชนกลุ่มชาติพันธุ์</t>
  </si>
  <si>
    <t xml:space="preserve">หลัก: ครู/อาจารย์ | ร่วม: แกนนำนักเรียน, ผู้ปกครอง, บุคลากรในสถานศึกษา</t>
  </si>
  <si>
    <t xml:space="preserve">ห้องเรียน / ศูนย์พัฒนาเด็กเล็ก</t>
  </si>
  <si>
    <t xml:space="preserve">① เด็กเล็ก T24 / ประถม T08 / มัธยม T18 / อาชีวะ T19  ② T16, T08, T20  ③ T12, T09, T14  ④ T26</t>
  </si>
  <si>
    <t xml:space="preserve">เลือกตามระดับชั้นเพราะเครื่องมือแต่ละชิ้นระบุกลุ่มเป้าหมายไว้ชัดในตาราง Flagship 11 พ.ค.</t>
  </si>
  <si>
    <t xml:space="preserve">สัปดาห์ 1 ประเมินความรอบรู้ก่อนเริ่ม | สัปดาห์ 2–4 จัดกิจกรรมตามเครื่องมือหลัก | เดือน 2 ส่งกิจกรรมให้ผู้ปกครองทำต่อที่บ้าน | เดือน 3 ประเมินซ้ำและสรุปให้ฝ่ายวิชาการ [จำลอง]</t>
  </si>
  <si>
    <t xml:space="preserve">ชุดเครื่องมือตามจำนวนกลุ่ม, คาบกิจกรรม 1–2 คาบ, ครูผู้นำกิจกรรม [จำลอง]</t>
  </si>
  <si>
    <t xml:space="preserve">นักเรียนสนุกแต่ไม่เชื่อมโยงกับชีวิตจริง → มีช่วงถอดบทเรียนทุกครั้ง; เวลาคาบไม่พอ → แบ่งกิจกรรมเป็น 2 คาบ [จำลอง]</t>
  </si>
  <si>
    <t xml:space="preserve">ครูได้ทดลองใช้เครื่องมือก่อนสอนจริง; มีการวัดผลก่อน–หลัง [จำลอง]</t>
  </si>
  <si>
    <t xml:space="preserve">คะแนนความรอบรู้ก่อน–หลัง; จำนวนนักเรียนที่เข้าร่วม; เหตุการณ์พบการใช้ในสถานศึกษา [จำลอง]</t>
  </si>
  <si>
    <t xml:space="preserve">พบนักเรียนที่ใช้แล้ว → ครูแนะแนวตาม IP-04 → สายด่วน 1600</t>
  </si>
  <si>
    <t xml:space="preserve">IP-02.pdf และการ์ด T24.pdf, T08.pdf, T18.pdf, T19.pdf, T16.pdf | เจ้าของเครื่องมือ: [รอ สสส. ยืนยัน]</t>
  </si>
  <si>
    <t xml:space="preserve">รหัสแผน SCH-MS4-xxxx + QR ลิงก์แบบติดตามผล</t>
  </si>
  <si>
    <t xml:space="preserve">IP-03  แกนนำเยาวชนขับเคลื่อนเอง</t>
  </si>
  <si>
    <t xml:space="preserve">IP-03 แกนนำเยาวชนขับเคลื่อนเอง</t>
  </si>
  <si>
    <t xml:space="preserve">แกนนำนักเรียนอยากตั้งชมรมเพื่อทำงานเรื่องนี้ต่อเนื่อง ไม่ใช่กิจกรรมครั้งเดียว</t>
  </si>
  <si>
    <t xml:space="preserve">เพื่อนนักเรียนมัธยม, นักศึกษาอุดมศึกษา, เยาวชนนอกระบบการศึกษา</t>
  </si>
  <si>
    <t xml:space="preserve">หลัก: แกนนำนักเรียน, แกนนำนักศึกษา | ร่วม: ครูที่ปรึกษาชมรม</t>
  </si>
  <si>
    <t xml:space="preserve">MS5 การมีส่วนร่วมของนักเรียน</t>
  </si>
  <si>
    <t xml:space="preserve">① T27  ② T20, T18  ③ T09, T11  ④ T25</t>
  </si>
  <si>
    <t xml:space="preserve">T27 เป็นกลไกเดียวในคลังที่ออกแบบให้เยาวชนเป็นผู้ขับเคลื่อนเอง</t>
  </si>
  <si>
    <t xml:space="preserve">เดือน 1 รับสมัครแกนนำและตั้งชมรม | เดือน 2 อบรมแกนนำและวางแผนกิจกรรม | เดือน 3–5 จัดกิจกรรมเดือนละครั้ง | เดือน 6 ถอดบทเรียนและส่งต่อรุ่นถัดไป [จำลอง]</t>
  </si>
  <si>
    <t xml:space="preserve">ครูที่ปรึกษา, พื้นที่ประชุมชมรม, งบกิจกรรม [จำลอง]</t>
  </si>
  <si>
    <t xml:space="preserve">แกนนำจบการศึกษาแล้วชมรมหยุด → วางระบบส่งต่อรุ่น; กิจกรรมกระจุกที่คนไม่กี่คน → หมุนเวียนบทบาท [จำลอง]</t>
  </si>
  <si>
    <t xml:space="preserve">มีครูที่ปรึกษาประจำ; ผู้บริหารอนุญาตให้ใช้เวลากิจกรรม [จำลอง]</t>
  </si>
  <si>
    <t xml:space="preserve">จำนวนแกนนำ; จำนวนกิจกรรมที่จัดได้; จำนวนผู้เข้าร่วม [จำลอง]</t>
  </si>
  <si>
    <t xml:space="preserve">พบเพื่อนที่ใช้แล้ว → ส่งต่อครูแนะแนวตาม IP-04 หรือสายด่วน 1600</t>
  </si>
  <si>
    <t xml:space="preserve">IP-03.pdf และการ์ด T27.pdf, T20.pdf | เจ้าของเครื่องมือ: [รอ สสส. ยืนยัน]</t>
  </si>
  <si>
    <t xml:space="preserve">รหัสแผน SCH-MS5-xxxx + QR ลิงก์แบบติดตามผล</t>
  </si>
  <si>
    <t xml:space="preserve">IP-04  ดูแลช่วยเหลือผู้ที่ใช้แล้วในสถานศึกษา</t>
  </si>
  <si>
    <t xml:space="preserve">IP-04 ดูแลช่วยเหลือผู้ที่ใช้แล้วในสถานศึกษา</t>
  </si>
  <si>
    <t xml:space="preserve">ครูแนะแนวพบนักเรียนใช้บุหรี่ไฟฟ้าในโรงเรียนและไม่รู้ว่าจะช่วยอย่างไร</t>
  </si>
  <si>
    <t xml:space="preserve">นักเรียนมัธยม, นักเรียนอาชีวศึกษา, นักศึกษาอุดมศึกษา</t>
  </si>
  <si>
    <t xml:space="preserve">หลัก: ครู/อาจารย์, บุคลากรในสถานศึกษา | ร่วม: แกนนำนักเรียน/นักศึกษา, เจ้าหน้าที่สาธารณสุข, เภสัชกรปฐมภูมิ</t>
  </si>
  <si>
    <t xml:space="preserve">สถานศึกษา → ส่งต่อ รพ.สต. หรือสายด่วน 1600</t>
  </si>
  <si>
    <t xml:space="preserve">MS6 การดูแลช่วยเหลือนักเรียน</t>
  </si>
  <si>
    <t xml:space="preserve">① อาชีวะ T19 / อุดมศึกษา T05 / ทุกกลุ่ม T28  ② T20 (เผยแพร่ช่องทางเลิก)  ③ T11  ④ T26</t>
  </si>
  <si>
    <t xml:space="preserve">คลังมีเครื่องมือระดับ Protection เพียง T19 และ T28 ส่วนนักเรียนมัธยมยังไม่มีเครื่องมือเฉพาะ จึงต้องใช้การส่งต่อเป็นหลัก</t>
  </si>
  <si>
    <t xml:space="preserve">สัปดาห์ 1 กำหนดผู้รับผิดชอบและช่องทางส่งต่อ | สัปดาห์ 2–4 พูดคุยรายบุคคลและแนะนำเครื่องมือ | เดือน 2 ติดตามผลราย 2 สัปดาห์ | เดือน 3 สรุปผลและทบทวนขั้นตอน [จำลอง]</t>
  </si>
  <si>
    <t xml:space="preserve">พื้นที่พูดคุยที่เป็นส่วนตัว, แบบบันทึกการติดตาม, รายชื่อหน่วยบริการในพื้นที่ [จำลอง]</t>
  </si>
  <si>
    <t xml:space="preserve">นักเรียนไม่กล้าเปิดเผยตัว → ใช้บรรยากาศที่ไม่ตัดสิน; ไม่มีช่องทางส่งต่อชัดเจน → ทำรายชื่อหน่วยบริการไว้ล่วงหน้า [จำลอง]</t>
  </si>
  <si>
    <t xml:space="preserve">บรรยากาศไม่ลงโทษผู้ใช้; มีผู้รับผิดชอบติดตามต่อเนื่อง; ผู้บริหารสนับสนุน [จำลอง]</t>
  </si>
  <si>
    <t xml:space="preserve">จำนวนผู้ได้รับการดูแล; จำนวนที่ลดหรือเลิกได้; จำนวนที่ส่งต่อสำเร็จ [จำลอง]</t>
  </si>
  <si>
    <t xml:space="preserve">ส่งต่อ รพ.สต. หรือสายด่วนเลิกบุหรี่ 1600 ทุกกรณีที่ต้องการเลิกด้วยตัวเอง</t>
  </si>
  <si>
    <t xml:space="preserve">IP-04.pdf และการ์ด T19.pdf, T28.pdf, T05.pdf | เจ้าของเครื่องมือ: [รอ สสส. ยืนยัน]</t>
  </si>
  <si>
    <t xml:space="preserve">รหัสแผน SCH-MS6-xxxx + QR ลิงก์แบบติดตามผล</t>
  </si>
  <si>
    <t xml:space="preserve">IP-05  บ้านปลอดควัน ครอบครัวช่วยเลิก</t>
  </si>
  <si>
    <t xml:space="preserve">IP-05 บ้านปลอดควัน ครอบครัวช่วยเลิก</t>
  </si>
  <si>
    <t xml:space="preserve">ผู้ปกครองอยากให้ลูกไม่เริ่มลอง และอยากชวนคนในบ้านที่สูบให้เลิก</t>
  </si>
  <si>
    <t xml:space="preserve">สมาชิกครอบครัว, ลูกหลานวัยเรียน, ครอบครัวในชุมชนมุสลิม</t>
  </si>
  <si>
    <t xml:space="preserve">หลัก: ผู้ปกครอง, แกนนำชุมชนมุสลิม, คณะกรรมการมัสยิด | ร่วม: อสม., แกนนำชุมชน</t>
  </si>
  <si>
    <t xml:space="preserve">MS-F1 บ้านปลอดควัน</t>
  </si>
  <si>
    <t xml:space="preserve">① T06  ② T08 (กิจกรรมกับลูกหลาน), T07  ③ T11  ④ T26</t>
  </si>
  <si>
    <t xml:space="preserve">T06 ใช้ครอบครัวเป็นแรงจูงใจซึ่งตรงกับองค์ประกอบบ้านปลอดควันในโมเดล</t>
  </si>
  <si>
    <t xml:space="preserve">เดือน 1 สำรวจครัวเรือนที่มีผู้สูบ | เดือน 2 ชวนครอบครัวเข้าร่วมผ่านกิจกรรมชุมชน | เดือน 3 ติดตามรายครัวเรือนทุก 2 สัปดาห์ | เดือน 4 ยกย่องครัวเรือนต้นแบบในเวทีชุมชน [จำลอง]</t>
  </si>
  <si>
    <t xml:space="preserve">รายชื่อครัวเรือน, ทีมเยี่ยมบ้าน, สื่อให้ความรู้ [จำลอง]</t>
  </si>
  <si>
    <t xml:space="preserve">ครัวเรือนไม่เปิดรับการเยี่ยม → ใช้ผู้นำที่ครอบครัวไว้ใจเป็นผู้ชวน; กลับไปสูบซ้ำ → ติดตามต่อเนื่อง 3 เดือน [จำลอง]</t>
  </si>
  <si>
    <t xml:space="preserve">ผู้นำชุมชนหรือศาสนาเป็นแบบอย่าง; มีทีมติดตามต่อเนื่อง [จำลอง]</t>
  </si>
  <si>
    <t xml:space="preserve">จำนวนครัวเรือนที่เข้าร่วม; จำนวนผู้ที่ลดหรือเลิกได้; จำนวนบ้านปลอดควัน [จำลอง]</t>
  </si>
  <si>
    <t xml:space="preserve">ผู้ที่ต้องการเลิก → อสม. หรือเภสัชกรปฐมภูมิตาม IP-08 หรือสายด่วน 1600</t>
  </si>
  <si>
    <t xml:space="preserve">IP-05.pdf และการ์ด T06.pdf, T08.pdf | เจ้าของเครื่องมือ: มูลนิธิสร้างสุขมุสลิมไทย (รอยืนยัน)</t>
  </si>
  <si>
    <t xml:space="preserve">รหัสแผน FAM-F1-xxxx + QR ลิงก์แบบติดตามผล</t>
  </si>
  <si>
    <t xml:space="preserve">IP-06  ชุมชนและศาสนสถานปลอดบุหรี่ไฟฟ้า</t>
  </si>
  <si>
    <t xml:space="preserve">IP-06 ชุมชนและศาสนสถานปลอดบุหรี่ไฟฟ้า</t>
  </si>
  <si>
    <t xml:space="preserve">คณะกรรมการมัสยิดต้องการเริ่มจากศาสนสถานแล้วขยายสู่ชุมชน</t>
  </si>
  <si>
    <t xml:space="preserve">ประชาชนในชุมชน โดยเฉพาะเด็กและเยาวชน และครอบครัวในชุมชนมุสลิม</t>
  </si>
  <si>
    <t xml:space="preserve">หลัก: คณะกรรมการมัสยิด, แกนนำชุมชนมุสลิม, แกนนำ อปท. | ร่วม: แกนนำชุมชน, อสม., เจ้าหน้าที่สาธารณสุข</t>
  </si>
  <si>
    <t xml:space="preserve">MS-C1 วัด/มัสยิดปลอดควัน, MS-C2 ZONING</t>
  </si>
  <si>
    <t xml:space="preserve">① T07 (ศาสนสถาน), T10 (สำรวจและกำหนดเขต)  ② T22, T06  ③ T10, T11  ④ T25</t>
  </si>
  <si>
    <t xml:space="preserve">T07 เป็นแนวปฏิบัติเฉพาะของศาสนสถาน ส่วน T10 ใช้สำรวจพื้นที่ก่อนประกาศเขตปลอดบุหรี่</t>
  </si>
  <si>
    <t xml:space="preserve">เดือน 1 ประชุมคณะกรรมการและประกาศเจตนารมณ์ | เดือน 2 ติดป้ายและสื่อสารผ่านกิจกรรมศาสนา | เดือน 3 สำรวจพื้นที่และร้านค้ารอบชุมชนด้วย T10 | เดือน 4 ทบทวนผลและขยายสู่ครัวเรือนตาม IP-05 [จำลอง]</t>
  </si>
  <si>
    <t xml:space="preserve">ที่ประชุมคณะกรรมการ, ป้ายสัญลักษณ์, ทีมสำรวจ 3–5 คน [จำลอง]</t>
  </si>
  <si>
    <t xml:space="preserve">ประกาศแล้วไม่มีการเฝ้าระวังต่อเนื่อง → ตั้งทีมเฝ้าระวังร่วมกับ อปท.; ร้านค้ารอบพื้นที่ยังขายให้เด็ก → คลังยังไม่มีเครื่องมือเฝ้าระวังร้านค้า ต้องขอเพิ่มจาก สสส. [จำลอง]</t>
  </si>
  <si>
    <t xml:space="preserve">ผู้นำศาสนาและท้องถิ่นสนับสนุน; มีทีมเฝ้าระวังประจำ [จำลอง]</t>
  </si>
  <si>
    <t xml:space="preserve">มีประกาศพื้นที่ปลอดบุหรี่; จำนวนจุดเสี่ยงที่สำรวจได้; จำนวนครัวเรือนที่เข้าร่วม [จำลอง]</t>
  </si>
  <si>
    <t xml:space="preserve">พบผู้ที่อยากเลิก → อสม. หรือเภสัชกรปฐมภูมิตาม IP-08 หรือสายด่วน 1600</t>
  </si>
  <si>
    <t xml:space="preserve">IP-06.pdf และการ์ด T07.pdf, T10.pdf, T22.pdf | เจ้าของเครื่องมือ: [รอ สสส. ยืนยัน]</t>
  </si>
  <si>
    <t xml:space="preserve">รหัสแผน COM-C1-xxxx + QR ลิงก์แบบติดตามผล</t>
  </si>
  <si>
    <t xml:space="preserve">IP-07  สื่อสารรณรงค์ในงานและเทศกาลชุมชน</t>
  </si>
  <si>
    <t xml:space="preserve">IP-07 สื่อสารรณรงค์ในงานและเทศกาลชุมชน</t>
  </si>
  <si>
    <t xml:space="preserve">เจ้าหน้าที่สาธารณสุขต้องการใช้งานประจำปีของท้องถิ่นเป็นเวทีรณรงค์</t>
  </si>
  <si>
    <t xml:space="preserve">ประชาชนทั่วไปในพื้นที่ รวมเด็กและเยาวชนที่มาร่วมงาน</t>
  </si>
  <si>
    <t xml:space="preserve">หลัก: เจ้าหน้าที่สาธารณสุข, แกนนำชุมชน, แกนนำ อปท., อสม. | ร่วม: ครู, แกนนำนักเรียน (กิจกรรมร่วม)</t>
  </si>
  <si>
    <t xml:space="preserve">MS-C3 สื่อสารในงานชุมชน, MS7 กิจกรรมร่วมโรงเรียน–ชุมชน</t>
  </si>
  <si>
    <t xml:space="preserve">① T23, T15, T22  ② T20, T21  ③ T11, T10  ④ T25</t>
  </si>
  <si>
    <t xml:space="preserve">T23 เคลื่อนย้ายได้และใช้กับผู้ร่วมงานจำนวนมาก ส่วน T15 ใช้เมื่อต้องการกิจกรรมต่อเนื่องมากกว่าการจัดครั้งเดียว</t>
  </si>
  <si>
    <t xml:space="preserve">เดือน 1 เลือกงานและประสานยืมนิทรรศการ | เดือน 2 เตรียมทีมประจำบูธและสื่อ | เดือน 3 จัดกิจกรรมในงาน | เดือน 4 สรุปจำนวนผู้เข้าชมและผลที่ได้ [จำลอง]</t>
  </si>
  <si>
    <t xml:space="preserve">พื้นที่จัดแสดง, ทีมประจำบูธ 2–3 คน, ค่าขนส่งชุดนิทรรศการ [จำลอง]</t>
  </si>
  <si>
    <t xml:space="preserve">จองชุดนิทรรศการไม่ทัน → จองล่วงหน้า 1 เดือน; คนเดินผ่านแต่ไม่หยุดดู → มีกิจกรรมให้ร่วมที่บูธ [จำลอง]</t>
  </si>
  <si>
    <t xml:space="preserve">มีทีมประจำบูธตลอดงาน; ประสานเจ้าภาพงานล่วงหน้า [จำลอง]</t>
  </si>
  <si>
    <t xml:space="preserve">จำนวนผู้เข้าชม; จำนวนงานที่จัดได้; จำนวนสื่อที่แจก [จำลอง]</t>
  </si>
  <si>
    <t xml:space="preserve">พบผู้ที่อยากเลิก → ส่งต่อ IP-08 หรือสายด่วน 1600</t>
  </si>
  <si>
    <t xml:space="preserve">IP-07.pdf และการ์ด T23.pdf, T15.pdf, T22.pdf, T20.pdf, T21.pdf | เจ้าของเครื่องมือ: [รอ สสส. ยืนยัน]</t>
  </si>
  <si>
    <t xml:space="preserve">รหัสแผน COM-C3-xxxx + QR ลิงก์แบบติดตามผล</t>
  </si>
  <si>
    <t xml:space="preserve">IP-08  เชื่อมระบบช่วยเลิกในระบบบริการสุขภาพ</t>
  </si>
  <si>
    <t xml:space="preserve">IP-08 เชื่อมระบบช่วยเลิกในระบบบริการสุขภาพ</t>
  </si>
  <si>
    <t xml:space="preserve">เภสัชกรปฐมภูมิพบผู้มารับบริการที่ใช้บุหรี่ไฟฟ้าและอยากเลิก</t>
  </si>
  <si>
    <t xml:space="preserve">ผู้ที่ใช้บุหรี่ไฟฟ้าและต้องการลดหรือเลิก</t>
  </si>
  <si>
    <t xml:space="preserve">หลัก: เภสัชกรปฐมภูมิ, อสม., เจ้าหน้าที่สาธารณสุข | ร่วม: ครู, แกนนำ (ผู้ส่งต่อ)</t>
  </si>
  <si>
    <t xml:space="preserve">จุดบริการสุขภาพ / รพ.สต. / ชุมชน</t>
  </si>
  <si>
    <t xml:space="preserve">MS-H1 เชื่อมโยงสาธารณสุข–รพ.สต.</t>
  </si>
  <si>
    <t xml:space="preserve">① T28  ② T22, T20  ③ T11  ④ T26</t>
  </si>
  <si>
    <t xml:space="preserve">T28 เป็นเครื่องมือเดียวในคลังที่อยู่ในเส้นทางช่วยเลิกโดยตรง</t>
  </si>
  <si>
    <t xml:space="preserve">สัปดาห์ 1 เตรียมสติกเกอร์และกำหนดจุดให้บริการ | สัปดาห์ 2–4 แนะนำวิธีใช้รายบุคคล | เดือน 2 ติดตามผลราย 2 สัปดาห์ | เดือน 3 สรุปผลและส่งต่อผู้ที่ต้องการความช่วยเหลือเพิ่ม [จำลอง]</t>
  </si>
  <si>
    <t xml:space="preserve">สติกเกอร์, จุดบริการ, แบบติดตามผล, รายชื่อหน่วยบริการที่รับส่งต่อ [จำลอง]</t>
  </si>
  <si>
    <t xml:space="preserve">ผู้ใช้เลิกกลางคัน → ติดตามต่อเนื่องอย่างน้อย 3 เดือน; ไม่มีระบบบันทึกผล → ใช้แบบติดตามอย่างง่าย [จำลอง]</t>
  </si>
  <si>
    <t xml:space="preserve">มีผู้ติดตามผลประจำ; เชื่อมกับหน่วยบริการในพื้นที่ได้จริง [จำลอง]</t>
  </si>
  <si>
    <t xml:space="preserve">จำนวนผู้รับบริการ; จำนวนผู้ที่ลดหรือเลิกได้; จำนวนที่ส่งต่อสำเร็จ [จำลอง]</t>
  </si>
  <si>
    <t xml:space="preserve">สายด่วนเลิกบุหรี่ 1600 และหน่วยบริการสุขภาพในพื้นที่</t>
  </si>
  <si>
    <t xml:space="preserve">IP-08.pdf และการ์ด T28.pdf | เจ้าของเครื่องมือ: [รอ สสส. ยืนยัน]</t>
  </si>
  <si>
    <t xml:space="preserve">รหัสแผน HLT-H1-xxxx + QR ลิงก์แบบติดตามผล</t>
  </si>
  <si>
    <t xml:space="preserve">IP-09  สถานประกอบการปลอดบุหรี่ไฟฟ้า</t>
  </si>
  <si>
    <t xml:space="preserve">IP-09 สถานประกอบการปลอดบุหรี่ไฟฟ้า</t>
  </si>
  <si>
    <t xml:space="preserve">แกนนำในสถานประกอบการอยากเริ่มงานเรื่องบุหรี่ไฟฟ้าในที่ทำงาน</t>
  </si>
  <si>
    <t xml:space="preserve">พนักงานและคนวัยทำงาน</t>
  </si>
  <si>
    <t xml:space="preserve">หลัก: แกนนำในสถานประกอบการ, บุคลากรในสถานประกอบการ | ร่วม: เจ้าหน้าที่สาธารณสุข, แกนนำชุมชน</t>
  </si>
  <si>
    <t xml:space="preserve">ไม่มีในโมเดล IP — ร่างจาก concept 3 ชุด</t>
  </si>
  <si>
    <t xml:space="preserve">① T21  ② T22, T23, T04  ③ T11  ④ T25, T26</t>
  </si>
  <si>
    <t xml:space="preserve">T21 เป็นชิ้นเดียวในคลังที่ระบุกลุ่มวัยทำงานโดยตรง ส่วนชิ้นอื่นเป็นสื่อที่ใช้ได้กับประชาชนทั่วไป</t>
  </si>
  <si>
    <t xml:space="preserve">เดือน 1 เสนอฝ่ายบริหารและขอเวลาในวาระประชุม | เดือน 2 สื่อสารชุดความรู้ผ่านช่องทางภายใน | เดือน 3 จัดกิจกรรมสั้นช่วงพักหรือประชุมประจำเดือน | เดือน 4 สำรวจพฤติกรรมและสรุปผลเสนอฝ่ายบุคคล [จำลอง]</t>
  </si>
  <si>
    <t xml:space="preserve">ช่องทางสื่อสารภายใน, เวลาในวาระประชุม, การสนับสนุนจากฝ่ายบริหาร [จำลอง]</t>
  </si>
  <si>
    <t xml:space="preserve">พนักงานไม่มีเวลาเข้าร่วม → ใช้เวลาในวาระประชุมที่มีอยู่แล้ว; ฝ่ายบริหารไม่สนับสนุน → ใช้ข้อมูลจาก T25 ประกอบการเสนอ [จำลอง]</t>
  </si>
  <si>
    <t xml:space="preserve">ผู้บริหารอนุมัติเวลาให้จัดกิจกรรม; มีผู้รับผิดชอบประจำ [จำลอง]</t>
  </si>
  <si>
    <t xml:space="preserve">จำนวนพนักงานที่เข้าถึงสื่อ; จำนวนกิจกรรมที่จัดได้; ผลสำรวจพฤติกรรมก่อน–หลัง [จำลอง]</t>
  </si>
  <si>
    <t xml:space="preserve">พนักงานที่อยากเลิก → รพ.สต. ในพื้นที่ตาม IP-08 หรือสายด่วน 1600</t>
  </si>
  <si>
    <t xml:space="preserve">IP-09.pdf และการ์ด T21.pdf, T22.pdf, T23.pdf | เจ้าของเครื่องมือ: [รอ สสส. ยืนยัน]</t>
  </si>
  <si>
    <t xml:space="preserve">รหัสแผน WRK-xxxx + QR ลิงก์แบบติดตามผล</t>
  </si>
  <si>
    <t xml:space="preserve">ตัวเลขสรุปสำหรับคุยกับลูกค้า และรายการช่องว่างของคลัง</t>
  </si>
  <si>
    <t xml:space="preserve">ตัวเลขทั้งหมดคำนวณจากชีต 04 ไม่ได้พิมพ์มือ</t>
  </si>
  <si>
    <t xml:space="preserve">ตัวเลขหลัก</t>
  </si>
  <si>
    <t xml:space="preserve">ประเด็น</t>
  </si>
  <si>
    <t xml:space="preserve">อ่านว่าอย่างไร</t>
  </si>
  <si>
    <t xml:space="preserve">สถานการณ์ที่ระบบต้องรองรับทั้งหมด</t>
  </si>
  <si>
    <t xml:space="preserve">ทุกชุดค่าผสมของ IP × บทบาท × กลุ่มเป้าหมาย × ระดับ ที่เป็นไปได้จริง</t>
  </si>
  <si>
    <t xml:space="preserve">สถานการณ์ที่มีเครื่องมือหลักรองรับ</t>
  </si>
  <si>
    <t xml:space="preserve">ผู้ใช้ได้แผนที่มีเครื่องมือให้เริ่มทำทันที</t>
  </si>
  <si>
    <t xml:space="preserve">สถานการณ์ที่มีเฉพาะเครื่องมือเสริม</t>
  </si>
  <si>
    <t xml:space="preserve">บทบาทนั้นเป็นผู้ร่วม ไม่ใช่ผู้เริ่ม ระบบต้องแนะนำให้ชวนผู้ดำเนินการหลักมาร่วม</t>
  </si>
  <si>
    <t xml:space="preserve">สถานการณ์ที่ไม่มีเครื่องมือเลย</t>
  </si>
  <si>
    <t xml:space="preserve">เครื่องมือในคลังที่ใช้งานได้</t>
  </si>
  <si>
    <t xml:space="preserve">จาก 28 ชิ้น ตัดชั่วคราว 3 ชิ้นตาม feedback</t>
  </si>
  <si>
    <t xml:space="preserve">เครื่องมือลงมือทำที่ถูกใช้เป็นเครื่องมือหลักอย่างน้อย 1 สถานการณ์</t>
  </si>
  <si>
    <t xml:space="preserve">ครบทั้ง 18 ชิ้น ไม่มีชิ้นไหนตกหล่น ส่วนอีก 7 ชิ้นเป็นแบบประเมิน (T09, T11–T14) และข้อมูลอ้างอิง (T25, T26) ซึ่งอยู่ในช่อง ③ และ ④</t>
  </si>
  <si>
    <t xml:space="preserve">บทบาทที่เปิดใช้ในระบบ</t>
  </si>
  <si>
    <t xml:space="preserve">จาก 24 บทบาท ตัดบทบาทที่ไม่มีเครื่องมือหลักตาม feedback</t>
  </si>
  <si>
    <t xml:space="preserve">แพ็กเกจแผน (IP)</t>
  </si>
  <si>
    <t xml:space="preserve">8 แพ็กเกจตามโมเดล + 1 แพ็กเกจสถานประกอบการที่ไม่มีในโมเดล</t>
  </si>
  <si>
    <t xml:space="preserve">รายการช่องว่างที่ต้องขอเพิ่มจาก สสส.</t>
  </si>
  <si>
    <t xml:space="preserve">ช่องว่าง</t>
  </si>
  <si>
    <t xml:space="preserve">อยู่ที่ IP ไหน</t>
  </si>
  <si>
    <t xml:space="preserve">ผลต่อผู้ใช้</t>
  </si>
  <si>
    <t xml:space="preserve">ความสำคัญ</t>
  </si>
  <si>
    <t xml:space="preserve">ไม่มีเครื่องมือดูแลผู้ที่ใช้แล้วสำหรับนักเรียนมัธยม</t>
  </si>
  <si>
    <t xml:space="preserve">ครูที่เจอนักเรียนมัธยมใช้บุหรี่ไฟฟ้าได้แค่คำแนะนำให้ส่งต่อ ไม่มีเครื่องมือในมือ</t>
  </si>
  <si>
    <t xml:space="preserve">สูง</t>
  </si>
  <si>
    <t xml:space="preserve">ไม่มีเครื่องมือสำหรับเด็กเล็กที่บ้าน</t>
  </si>
  <si>
    <t xml:space="preserve">ผู้ปกครองเด็กเล็กได้เฉพาะเครื่องมือของครู ศพด. ซึ่งไม่ได้ออกแบบให้พ่อแม่ใช้เอง</t>
  </si>
  <si>
    <t xml:space="preserve">ไม่มีเครื่องมือเฝ้าระวังร้านค้าและการขายออนไลน์</t>
  </si>
  <si>
    <t xml:space="preserve">ชุมชนประกาศเขตปลอดบุหรี่ได้ แต่จัดการแหล่งขายรอบพื้นที่เด็กไม่ได้</t>
  </si>
  <si>
    <t xml:space="preserve">ไม่มีเครื่องมือระดับดูแลผู้ที่ใช้แล้วสำหรับวัยทำงาน</t>
  </si>
  <si>
    <t xml:space="preserve">พนักงานที่อยากเลิกต้องพึ่งการส่งต่อออกนอกองค์กรอย่างเดียว</t>
  </si>
  <si>
    <t xml:space="preserve">มาตรการ MS2 และ MS3 ไม่มีเครื่องมือเฉพาะ</t>
  </si>
  <si>
    <t xml:space="preserve">ผู้บริหารได้เพียงหัวข้อกว้าง ๆ ไม่มีเช็กลิสต์สำรวจจุดเสี่ยงหรือแบบฟอร์มคณะทำงาน</t>
  </si>
  <si>
    <t xml:space="preserve">กลาง</t>
  </si>
  <si>
    <t xml:space="preserve">ไม่มีแนวปฏิบัติสำหรับวัด มีเฉพาะมัสยิด</t>
  </si>
  <si>
    <t xml:space="preserve">ชุมชนพุทธใช้ IP-06 ได้ไม่เต็มที่</t>
  </si>
  <si>
    <t xml:space="preserve">ไม่มีคู่มือขั้นตอนตั้งชมรม</t>
  </si>
  <si>
    <t xml:space="preserve">แกนนำได้ชื่อกลไกแต่ไม่มีขั้นตอนให้ทำตาม</t>
  </si>
  <si>
    <t xml:space="preserve">แกนนำชุมชนไม่มีเครื่องมือหลักในบริบทชุมชนมุสลิม</t>
  </si>
  <si>
    <t xml:space="preserve">ต้องรอคณะกรรมการมัสยิดเป็นผู้เริ่มเสมอ</t>
  </si>
  <si>
    <t xml:space="preserve">ไม่มีแบบประเมินสำหรับเด็กเล็กและระดับครัวเรือน</t>
  </si>
  <si>
    <t xml:space="preserve">วัดผลไม่ได้ในสองแพ็กเกจนี้</t>
  </si>
  <si>
    <t xml:space="preserve">ยังไม่มีคู่มือจริงของเครื่องมือทุกชิ้น</t>
  </si>
  <si>
    <t xml:space="preserve">หัวข้อ 11–15 ของไฟล์แผนยังเป็นเนื้อหาจำลอง</t>
  </si>
  <si>
    <t xml:space="preserve">ข้อมูลที่ต้องขอจาก สสส. เพื่อแทนที่ข้อมูลจำลอง</t>
  </si>
  <si>
    <t xml:space="preserve">เรียงตามความจำเป็น 3 ระดับ ใช้เป็นต้นทางของแบบขอข้อมูล (ไฟล์ 5)</t>
  </si>
  <si>
    <t xml:space="preserve">ข้อมูลที่ขอ</t>
  </si>
  <si>
    <t xml:space="preserve">ใช้แทนที่อะไรในไฟล์นี้</t>
  </si>
  <si>
    <t xml:space="preserve">ถ้าไม่ได้จะเกิดอะไร</t>
  </si>
  <si>
    <t xml:space="preserve">1 ขาดไม่ได้</t>
  </si>
  <si>
    <t xml:space="preserve">ไฟล์เครื่องมือจริง 25 ชิ้น พร้อมสิทธิ์เผยแพร่</t>
  </si>
  <si>
    <t xml:space="preserve">ไฟล์การ์ด T01–T28 และปุ่มดาวน์โหลดในเว็บ</t>
  </si>
  <si>
    <t xml:space="preserve">ผู้ใช้ดาวน์โหลดได้แต่เอกสารจำลอง ส่งมอบจริงไม่ได้</t>
  </si>
  <si>
    <t xml:space="preserve">ขั้นตอนการใช้เครื่องมือแต่ละชิ้น อย่างน้อย 3–4 ช่วง</t>
  </si>
  <si>
    <t xml:space="preserve">ชีต 02 คอลัมน์ขั้นตอนใช้งาน [จำลอง]</t>
  </si>
  <si>
    <t xml:space="preserve">แผนที่ผู้ใช้ได้รับไม่ตรงกับวิธีใช้จริงของเครื่องมือ</t>
  </si>
  <si>
    <t xml:space="preserve">เส้นทางส่งต่อเมื่อพบผู้ใช้บุหรี่ไฟฟ้า แยกตามพื้นที่</t>
  </si>
  <si>
    <t xml:space="preserve">หัวข้อ 16 ของทุก IP</t>
  </si>
  <si>
    <t xml:space="preserve">ระบบแนะนำให้ส่งต่อแต่ไม่รู้ว่าส่งไปที่ไหน</t>
  </si>
  <si>
    <t xml:space="preserve">ยืนยันผู้ดำเนินการและกลุ่มเป้าหมายของแต่ละเครื่องมือ</t>
  </si>
  <si>
    <t xml:space="preserve">ชีต 02 และ 04 ทั้งหมด</t>
  </si>
  <si>
    <t xml:space="preserve">การจับคู่อาจผิด ทำให้แนะนำเครื่องมือที่ใช้ไม่ได้จริง</t>
  </si>
  <si>
    <t xml:space="preserve">2 จำเป็นต่อคุณภาพ</t>
  </si>
  <si>
    <t xml:space="preserve">ความเสี่ยง เงื่อนไขความสำเร็จ และตัวชี้วัดของแต่ละเครื่องมือ</t>
  </si>
  <si>
    <t xml:space="preserve">ชีต 02 และหัวข้อ 13–15 ของทุก IP</t>
  </si>
  <si>
    <t xml:space="preserve">แผนมีครบทุกหัวข้อแต่เนื้อหายังเป็นของทีม ไม่ใช่ของ สสส.</t>
  </si>
  <si>
    <t xml:space="preserve">คำตอบเรื่อง T02 G-RDU, T03 CIB, T17 Survival Kit ว่าเกี่ยวกับบุหรี่ไฟฟ้าหรือไม่</t>
  </si>
  <si>
    <t xml:space="preserve">ชีต 00 และช่องว่างของ IP-05, IP-06</t>
  </si>
  <si>
    <t xml:space="preserve">ถ้าเกี่ยวจริง แปลว่าเราตัดเครื่องมือที่ใช้ได้ออกไป 3 ชิ้น</t>
  </si>
  <si>
    <t xml:space="preserve">รายละเอียด 7 องค์ประกอบ (อุดมศึกษา) และ 7 ชุดกิจกรรม</t>
  </si>
  <si>
    <t xml:space="preserve">T01 และ T15</t>
  </si>
  <si>
    <t xml:space="preserve">สองชิ้นนี้ยังแนะนำแบบกว้าง ไม่มีเนื้อหาให้ผู้ใช้ทำตาม</t>
  </si>
  <si>
    <t xml:space="preserve">ยืนยันว่า T15 ใช้กับชุมชนหรือ ศพด.</t>
  </si>
  <si>
    <t xml:space="preserve">อาจแนะนำผิดพื้นที่</t>
  </si>
  <si>
    <t xml:space="preserve">3 เติมให้สมบูรณ์</t>
  </si>
  <si>
    <t xml:space="preserve">ตัวเลขสถานการณ์บุหรี่ไฟฟ้าพร้อมแหล่งอ้างอิง</t>
  </si>
  <si>
    <t xml:space="preserve">ส่วน C ของหน้าเว็บ</t>
  </si>
  <si>
    <t xml:space="preserve">หน้าเว็บยังเว้นวงเล็บเหลี่ยมไว้</t>
  </si>
  <si>
    <t xml:space="preserve">โลโก้ สสส. และภาคี พร้อมสิทธิ์การใช้</t>
  </si>
  <si>
    <t xml:space="preserve">ส่วน A และ E ของหน้าเว็บ</t>
  </si>
  <si>
    <t xml:space="preserve">ใช้กล่องว่างแทนโลโก้</t>
  </si>
  <si>
    <t xml:space="preserve">เครื่องมือใหม่ที่ยังไม่มีในคลัง ตามรายการช่องว่างในชีต 06</t>
  </si>
  <si>
    <t xml:space="preserve">10 รายการช่องว่าง</t>
  </si>
  <si>
    <t xml:space="preserve">ผู้ใช้บางกลุ่มยังได้แผนที่ไม่มีเครื่องมือให้เริ่ม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</si>
</sst>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Tahoma"/>
      <family val="0"/>
      <charset val="1"/>
    </font>
    <font>
      <i val="true"/>
      <sz val="10"/>
      <color rgb="FF595959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2"/>
      <color rgb="FF1F4E5A"/>
      <name val="Tahoma"/>
      <family val="0"/>
      <charset val="1"/>
    </font>
    <font>
      <b val="true"/>
      <sz val="11"/>
      <color rgb="FF1F4E5A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EDEDED"/>
        <bgColor rgb="FFE8F3F1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8F3F1"/>
        <bgColor rgb="FFEDEDED"/>
      </patternFill>
    </fill>
    <fill>
      <patternFill patternType="solid">
        <fgColor rgb="FFC6EFCE"/>
        <bgColor rgb="FFD9EAF0"/>
      </patternFill>
    </fill>
    <fill>
      <patternFill patternType="solid">
        <fgColor rgb="FFFFEB9C"/>
        <bgColor rgb="FFFCE4D6"/>
      </patternFill>
    </fill>
    <fill>
      <patternFill patternType="solid">
        <fgColor rgb="FFD9EAF0"/>
        <bgColor rgb="FFE8F3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9EAF0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F1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4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7</v>
      </c>
      <c r="B5" s="5" t="s">
        <v>8</v>
      </c>
      <c r="C5" s="6" t="s">
        <v>9</v>
      </c>
      <c r="D5" s="7" t="s">
        <v>10</v>
      </c>
      <c r="E5" s="7" t="s">
        <v>11</v>
      </c>
    </row>
    <row r="6" customFormat="false" ht="23.85" hidden="false" customHeight="false" outlineLevel="0" collapsed="false">
      <c r="A6" s="4" t="s">
        <v>12</v>
      </c>
      <c r="B6" s="5" t="s">
        <v>13</v>
      </c>
      <c r="C6" s="6" t="s">
        <v>14</v>
      </c>
      <c r="D6" s="7" t="s">
        <v>15</v>
      </c>
      <c r="E6" s="7" t="s">
        <v>16</v>
      </c>
    </row>
    <row r="7" customFormat="false" ht="23.85" hidden="false" customHeight="false" outlineLevel="0" collapsed="false">
      <c r="A7" s="4" t="s">
        <v>17</v>
      </c>
      <c r="B7" s="5" t="s">
        <v>18</v>
      </c>
      <c r="C7" s="6" t="s">
        <v>19</v>
      </c>
      <c r="D7" s="7" t="s">
        <v>20</v>
      </c>
      <c r="E7" s="7" t="s">
        <v>21</v>
      </c>
    </row>
    <row r="8" customFormat="false" ht="23.85" hidden="false" customHeight="false" outlineLevel="0" collapsed="false">
      <c r="A8" s="4" t="s">
        <v>22</v>
      </c>
      <c r="B8" s="5" t="s">
        <v>23</v>
      </c>
      <c r="C8" s="6" t="s">
        <v>24</v>
      </c>
      <c r="D8" s="7" t="s">
        <v>25</v>
      </c>
      <c r="E8" s="7" t="s">
        <v>26</v>
      </c>
    </row>
    <row r="9" customFormat="false" ht="15" hidden="false" customHeight="false" outlineLevel="0" collapsed="false">
      <c r="A9" s="4" t="s">
        <v>27</v>
      </c>
      <c r="B9" s="5" t="s">
        <v>28</v>
      </c>
      <c r="C9" s="6" t="s">
        <v>29</v>
      </c>
      <c r="D9" s="7" t="s">
        <v>30</v>
      </c>
      <c r="E9" s="7" t="s">
        <v>31</v>
      </c>
    </row>
    <row r="10" customFormat="false" ht="15" hidden="false" customHeight="false" outlineLevel="0" collapsed="false">
      <c r="A10" s="4" t="s">
        <v>32</v>
      </c>
      <c r="B10" s="5" t="s">
        <v>33</v>
      </c>
      <c r="C10" s="6" t="s">
        <v>34</v>
      </c>
      <c r="D10" s="7" t="s">
        <v>35</v>
      </c>
      <c r="E10" s="7" t="s">
        <v>36</v>
      </c>
    </row>
    <row r="11" customFormat="false" ht="23.85" hidden="false" customHeight="false" outlineLevel="0" collapsed="false">
      <c r="A11" s="4" t="s">
        <v>37</v>
      </c>
      <c r="B11" s="5" t="s">
        <v>38</v>
      </c>
      <c r="C11" s="6" t="s">
        <v>39</v>
      </c>
      <c r="D11" s="7" t="s">
        <v>40</v>
      </c>
      <c r="E11" s="7" t="s">
        <v>41</v>
      </c>
    </row>
    <row r="14" customFormat="false" ht="39.55" hidden="false" customHeight="false" outlineLevel="0" collapsed="false">
      <c r="A14" s="8" t="s">
        <v>42</v>
      </c>
    </row>
    <row r="15" customFormat="false" ht="42" hidden="false" customHeight="true" outlineLevel="0" collapsed="false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</row>
    <row r="16" customFormat="false" ht="15" hidden="false" customHeight="false" outlineLevel="0" collapsed="false">
      <c r="A16" s="9" t="s">
        <v>48</v>
      </c>
      <c r="B16" s="10" t="s">
        <v>49</v>
      </c>
      <c r="C16" s="10" t="s">
        <v>50</v>
      </c>
      <c r="D16" s="5" t="s">
        <v>51</v>
      </c>
      <c r="E16" s="5" t="s">
        <v>52</v>
      </c>
    </row>
    <row r="17" customFormat="false" ht="15" hidden="false" customHeight="false" outlineLevel="0" collapsed="false">
      <c r="A17" s="9" t="s">
        <v>53</v>
      </c>
      <c r="B17" s="10" t="s">
        <v>41</v>
      </c>
      <c r="C17" s="10" t="s">
        <v>54</v>
      </c>
      <c r="D17" s="5" t="s">
        <v>55</v>
      </c>
      <c r="E17" s="5" t="s">
        <v>52</v>
      </c>
    </row>
    <row r="18" customFormat="false" ht="15" hidden="false" customHeight="false" outlineLevel="0" collapsed="false">
      <c r="A18" s="9" t="s">
        <v>56</v>
      </c>
      <c r="B18" s="10" t="s">
        <v>57</v>
      </c>
      <c r="C18" s="10" t="s">
        <v>58</v>
      </c>
      <c r="D18" s="5" t="s">
        <v>59</v>
      </c>
      <c r="E18" s="5" t="s">
        <v>52</v>
      </c>
    </row>
    <row r="19" customFormat="false" ht="15" hidden="false" customHeight="false" outlineLevel="0" collapsed="false">
      <c r="A19" s="9" t="s">
        <v>60</v>
      </c>
      <c r="B19" s="10" t="s">
        <v>61</v>
      </c>
      <c r="C19" s="10" t="s">
        <v>62</v>
      </c>
      <c r="D19" s="5" t="s">
        <v>63</v>
      </c>
      <c r="E19" s="5" t="s">
        <v>52</v>
      </c>
    </row>
    <row r="20" customFormat="false" ht="15" hidden="false" customHeight="false" outlineLevel="0" collapsed="false">
      <c r="A20" s="9" t="s">
        <v>64</v>
      </c>
      <c r="B20" s="10" t="s">
        <v>65</v>
      </c>
      <c r="C20" s="10" t="s">
        <v>66</v>
      </c>
      <c r="D20" s="5" t="s">
        <v>67</v>
      </c>
      <c r="E20" s="5" t="s">
        <v>52</v>
      </c>
    </row>
    <row r="21" customFormat="false" ht="15" hidden="false" customHeight="false" outlineLevel="0" collapsed="false">
      <c r="A21" s="9" t="s">
        <v>68</v>
      </c>
      <c r="B21" s="10" t="s">
        <v>69</v>
      </c>
      <c r="C21" s="10" t="s">
        <v>70</v>
      </c>
      <c r="D21" s="5" t="s">
        <v>71</v>
      </c>
      <c r="E21" s="5" t="s">
        <v>52</v>
      </c>
    </row>
    <row r="22" customFormat="false" ht="15" hidden="false" customHeight="false" outlineLevel="0" collapsed="false">
      <c r="A22" s="9" t="s">
        <v>72</v>
      </c>
      <c r="B22" s="10" t="s">
        <v>73</v>
      </c>
      <c r="C22" s="10" t="s">
        <v>19</v>
      </c>
      <c r="D22" s="5" t="s">
        <v>74</v>
      </c>
      <c r="E22" s="5" t="s">
        <v>52</v>
      </c>
    </row>
    <row r="23" customFormat="false" ht="15" hidden="false" customHeight="false" outlineLevel="0" collapsed="false">
      <c r="A23" s="9" t="s">
        <v>75</v>
      </c>
      <c r="B23" s="10" t="s">
        <v>29</v>
      </c>
      <c r="C23" s="10" t="s">
        <v>29</v>
      </c>
      <c r="D23" s="5" t="s">
        <v>76</v>
      </c>
      <c r="E23" s="5" t="s">
        <v>52</v>
      </c>
    </row>
    <row r="24" customFormat="false" ht="15" hidden="false" customHeight="false" outlineLevel="0" collapsed="false">
      <c r="A24" s="9" t="s">
        <v>77</v>
      </c>
      <c r="B24" s="10" t="s">
        <v>78</v>
      </c>
      <c r="C24" s="10" t="s">
        <v>78</v>
      </c>
      <c r="D24" s="5" t="s">
        <v>79</v>
      </c>
      <c r="E24" s="5" t="s">
        <v>52</v>
      </c>
    </row>
    <row r="25" customFormat="false" ht="15" hidden="false" customHeight="false" outlineLevel="0" collapsed="false">
      <c r="A25" s="9" t="s">
        <v>80</v>
      </c>
      <c r="B25" s="10" t="s">
        <v>14</v>
      </c>
      <c r="C25" s="10" t="s">
        <v>14</v>
      </c>
      <c r="D25" s="5" t="s">
        <v>81</v>
      </c>
      <c r="E25" s="5" t="s">
        <v>52</v>
      </c>
    </row>
    <row r="26" customFormat="false" ht="15" hidden="false" customHeight="false" outlineLevel="0" collapsed="false">
      <c r="A26" s="9" t="s">
        <v>82</v>
      </c>
      <c r="B26" s="10" t="s">
        <v>83</v>
      </c>
      <c r="C26" s="10" t="s">
        <v>83</v>
      </c>
      <c r="D26" s="5" t="s">
        <v>84</v>
      </c>
      <c r="E26" s="5" t="s">
        <v>52</v>
      </c>
    </row>
    <row r="27" customFormat="false" ht="15" hidden="false" customHeight="false" outlineLevel="0" collapsed="false">
      <c r="A27" s="9" t="s">
        <v>85</v>
      </c>
      <c r="B27" s="10" t="s">
        <v>86</v>
      </c>
      <c r="C27" s="10" t="s">
        <v>86</v>
      </c>
      <c r="D27" s="5" t="s">
        <v>87</v>
      </c>
      <c r="E27" s="5" t="s">
        <v>52</v>
      </c>
    </row>
    <row r="28" customFormat="false" ht="15" hidden="false" customHeight="false" outlineLevel="0" collapsed="false">
      <c r="A28" s="9" t="s">
        <v>88</v>
      </c>
      <c r="B28" s="10" t="s">
        <v>89</v>
      </c>
      <c r="C28" s="10" t="s">
        <v>89</v>
      </c>
      <c r="D28" s="5" t="s">
        <v>90</v>
      </c>
      <c r="E28" s="5" t="s">
        <v>52</v>
      </c>
    </row>
    <row r="29" customFormat="false" ht="15" hidden="false" customHeight="false" outlineLevel="0" collapsed="false">
      <c r="A29" s="9" t="s">
        <v>91</v>
      </c>
      <c r="B29" s="10" t="s">
        <v>92</v>
      </c>
      <c r="C29" s="10" t="s">
        <v>93</v>
      </c>
      <c r="D29" s="5" t="s">
        <v>94</v>
      </c>
      <c r="E29" s="5" t="s">
        <v>52</v>
      </c>
    </row>
    <row r="30" customFormat="false" ht="15" hidden="false" customHeight="false" outlineLevel="0" collapsed="false">
      <c r="A30" s="9" t="s">
        <v>95</v>
      </c>
      <c r="B30" s="10" t="s">
        <v>96</v>
      </c>
      <c r="C30" s="10" t="s">
        <v>96</v>
      </c>
      <c r="D30" s="5" t="s">
        <v>97</v>
      </c>
      <c r="E30" s="5" t="s">
        <v>52</v>
      </c>
    </row>
    <row r="31" customFormat="false" ht="15" hidden="false" customHeight="false" outlineLevel="0" collapsed="false">
      <c r="A31" s="9" t="s">
        <v>98</v>
      </c>
      <c r="B31" s="10" t="s">
        <v>99</v>
      </c>
      <c r="C31" s="10" t="s">
        <v>99</v>
      </c>
      <c r="D31" s="5" t="s">
        <v>100</v>
      </c>
      <c r="E31" s="5" t="s">
        <v>52</v>
      </c>
    </row>
    <row r="32" customFormat="false" ht="15" hidden="false" customHeight="false" outlineLevel="0" collapsed="false">
      <c r="A32" s="9" t="s">
        <v>101</v>
      </c>
      <c r="B32" s="10" t="s">
        <v>102</v>
      </c>
      <c r="C32" s="10" t="s">
        <v>102</v>
      </c>
      <c r="D32" s="5" t="s">
        <v>103</v>
      </c>
      <c r="E32" s="5" t="s">
        <v>52</v>
      </c>
    </row>
    <row r="33" customFormat="false" ht="15" hidden="false" customHeight="false" outlineLevel="0" collapsed="false">
      <c r="A33" s="9" t="s">
        <v>104</v>
      </c>
      <c r="B33" s="10" t="s">
        <v>105</v>
      </c>
      <c r="C33" s="10" t="s">
        <v>105</v>
      </c>
      <c r="D33" s="5" t="s">
        <v>106</v>
      </c>
      <c r="E33" s="5" t="s">
        <v>52</v>
      </c>
    </row>
    <row r="34" customFormat="false" ht="15" hidden="false" customHeight="false" outlineLevel="0" collapsed="false">
      <c r="A34" s="9" t="s">
        <v>107</v>
      </c>
      <c r="B34" s="10" t="s">
        <v>108</v>
      </c>
      <c r="C34" s="10" t="s">
        <v>108</v>
      </c>
      <c r="D34" s="5" t="s">
        <v>109</v>
      </c>
      <c r="E34" s="5" t="s">
        <v>52</v>
      </c>
    </row>
    <row r="35" customFormat="false" ht="15" hidden="false" customHeight="false" outlineLevel="0" collapsed="false">
      <c r="A35" s="9" t="s">
        <v>110</v>
      </c>
      <c r="B35" s="10" t="s">
        <v>111</v>
      </c>
      <c r="C35" s="10" t="s">
        <v>111</v>
      </c>
      <c r="D35" s="5" t="s">
        <v>112</v>
      </c>
      <c r="E35" s="5" t="s">
        <v>52</v>
      </c>
    </row>
    <row r="36" customFormat="false" ht="15" hidden="false" customHeight="false" outlineLevel="0" collapsed="false">
      <c r="A36" s="9" t="s">
        <v>113</v>
      </c>
      <c r="B36" s="10" t="s">
        <v>114</v>
      </c>
      <c r="C36" s="10" t="s">
        <v>92</v>
      </c>
      <c r="D36" s="5" t="s">
        <v>115</v>
      </c>
      <c r="E36" s="5" t="s">
        <v>52</v>
      </c>
    </row>
    <row r="37" customFormat="false" ht="15" hidden="false" customHeight="false" outlineLevel="0" collapsed="false">
      <c r="A37" s="9" t="s">
        <v>116</v>
      </c>
      <c r="B37" s="10" t="s">
        <v>93</v>
      </c>
      <c r="C37" s="10" t="s">
        <v>117</v>
      </c>
      <c r="D37" s="5" t="s">
        <v>118</v>
      </c>
      <c r="E37" s="5" t="s">
        <v>52</v>
      </c>
    </row>
    <row r="38" customFormat="false" ht="15" hidden="false" customHeight="false" outlineLevel="0" collapsed="false">
      <c r="A38" s="9" t="s">
        <v>119</v>
      </c>
      <c r="B38" s="10" t="s">
        <v>117</v>
      </c>
      <c r="C38" s="10" t="s">
        <v>120</v>
      </c>
      <c r="D38" s="5" t="s">
        <v>121</v>
      </c>
      <c r="E38" s="5" t="s">
        <v>52</v>
      </c>
    </row>
    <row r="39" customFormat="false" ht="15" hidden="false" customHeight="false" outlineLevel="0" collapsed="false">
      <c r="A39" s="9" t="s">
        <v>122</v>
      </c>
      <c r="B39" s="10" t="s">
        <v>120</v>
      </c>
      <c r="C39" s="10" t="s">
        <v>123</v>
      </c>
      <c r="D39" s="5" t="s">
        <v>124</v>
      </c>
      <c r="E39" s="5" t="s">
        <v>52</v>
      </c>
    </row>
    <row r="40" customFormat="false" ht="15" hidden="false" customHeight="false" outlineLevel="0" collapsed="false">
      <c r="A40" s="9" t="s">
        <v>125</v>
      </c>
      <c r="B40" s="10" t="s">
        <v>126</v>
      </c>
      <c r="C40" s="10" t="s">
        <v>114</v>
      </c>
      <c r="D40" s="5" t="s">
        <v>127</v>
      </c>
      <c r="E40" s="5" t="s">
        <v>52</v>
      </c>
    </row>
    <row r="41" customFormat="false" ht="15" hidden="false" customHeight="false" outlineLevel="0" collapsed="false">
      <c r="A41" s="11" t="s">
        <v>128</v>
      </c>
      <c r="B41" s="12" t="s">
        <v>129</v>
      </c>
      <c r="C41" s="12" t="s">
        <v>130</v>
      </c>
      <c r="D41" s="13" t="s">
        <v>131</v>
      </c>
      <c r="E41" s="13" t="s">
        <v>132</v>
      </c>
    </row>
    <row r="42" customFormat="false" ht="15" hidden="false" customHeight="false" outlineLevel="0" collapsed="false">
      <c r="A42" s="11" t="s">
        <v>133</v>
      </c>
      <c r="B42" s="12" t="s">
        <v>134</v>
      </c>
      <c r="C42" s="12" t="s">
        <v>9</v>
      </c>
      <c r="D42" s="13" t="s">
        <v>135</v>
      </c>
      <c r="E42" s="13" t="s">
        <v>132</v>
      </c>
    </row>
    <row r="43" customFormat="false" ht="15" hidden="false" customHeight="false" outlineLevel="0" collapsed="false">
      <c r="A43" s="11" t="s">
        <v>136</v>
      </c>
      <c r="B43" s="12" t="s">
        <v>137</v>
      </c>
      <c r="C43" s="12" t="s">
        <v>137</v>
      </c>
      <c r="D43" s="13" t="s">
        <v>138</v>
      </c>
      <c r="E43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17.9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42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</row>
    <row r="5" customFormat="false" ht="43.5" hidden="false" customHeight="true" outlineLevel="0" collapsed="false">
      <c r="A5" s="9" t="s">
        <v>147</v>
      </c>
      <c r="B5" s="5" t="s">
        <v>148</v>
      </c>
      <c r="C5" s="5" t="s">
        <v>149</v>
      </c>
      <c r="D5" s="14" t="s">
        <v>150</v>
      </c>
      <c r="E5" s="7" t="s">
        <v>151</v>
      </c>
      <c r="F5" s="7" t="s">
        <v>152</v>
      </c>
    </row>
    <row r="6" customFormat="false" ht="43.5" hidden="false" customHeight="true" outlineLevel="0" collapsed="false">
      <c r="A6" s="9" t="s">
        <v>153</v>
      </c>
      <c r="B6" s="5" t="s">
        <v>148</v>
      </c>
      <c r="C6" s="5" t="s">
        <v>154</v>
      </c>
      <c r="D6" s="14" t="s">
        <v>155</v>
      </c>
      <c r="E6" s="7" t="s">
        <v>156</v>
      </c>
      <c r="F6" s="7" t="s">
        <v>152</v>
      </c>
    </row>
    <row r="7" customFormat="false" ht="43.5" hidden="false" customHeight="true" outlineLevel="0" collapsed="false">
      <c r="A7" s="9" t="s">
        <v>157</v>
      </c>
      <c r="B7" s="5" t="s">
        <v>148</v>
      </c>
      <c r="C7" s="5" t="s">
        <v>158</v>
      </c>
      <c r="D7" s="14" t="s">
        <v>159</v>
      </c>
      <c r="E7" s="7" t="s">
        <v>160</v>
      </c>
      <c r="F7" s="7" t="s">
        <v>152</v>
      </c>
    </row>
    <row r="8" customFormat="false" ht="43.5" hidden="false" customHeight="true" outlineLevel="0" collapsed="false">
      <c r="A8" s="9" t="s">
        <v>161</v>
      </c>
      <c r="B8" s="5" t="s">
        <v>148</v>
      </c>
      <c r="C8" s="5" t="s">
        <v>162</v>
      </c>
      <c r="D8" s="14" t="s">
        <v>163</v>
      </c>
      <c r="E8" s="7" t="s">
        <v>164</v>
      </c>
      <c r="F8" s="7" t="s">
        <v>165</v>
      </c>
    </row>
    <row r="9" customFormat="false" ht="43.5" hidden="false" customHeight="true" outlineLevel="0" collapsed="false">
      <c r="A9" s="9" t="s">
        <v>166</v>
      </c>
      <c r="B9" s="5" t="s">
        <v>148</v>
      </c>
      <c r="C9" s="5" t="s">
        <v>167</v>
      </c>
      <c r="D9" s="14" t="s">
        <v>168</v>
      </c>
      <c r="E9" s="7" t="s">
        <v>169</v>
      </c>
      <c r="F9" s="7" t="s">
        <v>170</v>
      </c>
    </row>
    <row r="10" customFormat="false" ht="43.5" hidden="false" customHeight="true" outlineLevel="0" collapsed="false">
      <c r="A10" s="9" t="s">
        <v>171</v>
      </c>
      <c r="B10" s="5" t="s">
        <v>148</v>
      </c>
      <c r="C10" s="5" t="s">
        <v>172</v>
      </c>
      <c r="D10" s="14" t="s">
        <v>173</v>
      </c>
      <c r="E10" s="7" t="s">
        <v>174</v>
      </c>
      <c r="F10" s="7" t="s">
        <v>175</v>
      </c>
    </row>
    <row r="11" customFormat="false" ht="43.5" hidden="false" customHeight="true" outlineLevel="0" collapsed="false">
      <c r="A11" s="9" t="s">
        <v>176</v>
      </c>
      <c r="B11" s="5" t="s">
        <v>177</v>
      </c>
      <c r="C11" s="5" t="s">
        <v>178</v>
      </c>
      <c r="D11" s="14" t="s">
        <v>179</v>
      </c>
      <c r="E11" s="7" t="s">
        <v>180</v>
      </c>
      <c r="F11" s="7" t="s">
        <v>181</v>
      </c>
    </row>
    <row r="12" customFormat="false" ht="43.5" hidden="false" customHeight="true" outlineLevel="0" collapsed="false">
      <c r="A12" s="9" t="s">
        <v>182</v>
      </c>
      <c r="B12" s="5" t="s">
        <v>183</v>
      </c>
      <c r="C12" s="5" t="s">
        <v>184</v>
      </c>
      <c r="D12" s="14" t="s">
        <v>185</v>
      </c>
      <c r="E12" s="7" t="s">
        <v>186</v>
      </c>
      <c r="F12" s="7" t="s">
        <v>187</v>
      </c>
    </row>
    <row r="13" customFormat="false" ht="43.5" hidden="false" customHeight="true" outlineLevel="0" collapsed="false">
      <c r="A13" s="9" t="s">
        <v>188</v>
      </c>
      <c r="B13" s="5" t="s">
        <v>189</v>
      </c>
      <c r="C13" s="5" t="s">
        <v>190</v>
      </c>
      <c r="D13" s="14" t="s">
        <v>191</v>
      </c>
      <c r="E13" s="7" t="s">
        <v>192</v>
      </c>
      <c r="F13" s="7" t="s">
        <v>193</v>
      </c>
    </row>
    <row r="14" customFormat="false" ht="43.5" hidden="false" customHeight="true" outlineLevel="0" collapsed="false">
      <c r="A14" s="9" t="s">
        <v>194</v>
      </c>
      <c r="B14" s="5" t="s">
        <v>189</v>
      </c>
      <c r="C14" s="5" t="s">
        <v>195</v>
      </c>
      <c r="D14" s="14" t="s">
        <v>196</v>
      </c>
      <c r="E14" s="7" t="s">
        <v>197</v>
      </c>
      <c r="F14" s="7" t="s">
        <v>193</v>
      </c>
    </row>
    <row r="15" customFormat="false" ht="43.5" hidden="false" customHeight="true" outlineLevel="0" collapsed="false">
      <c r="A15" s="9" t="s">
        <v>198</v>
      </c>
      <c r="B15" s="5" t="s">
        <v>189</v>
      </c>
      <c r="C15" s="5" t="s">
        <v>199</v>
      </c>
      <c r="D15" s="14" t="s">
        <v>200</v>
      </c>
      <c r="E15" s="7" t="s">
        <v>201</v>
      </c>
      <c r="F15" s="7" t="s">
        <v>181</v>
      </c>
    </row>
    <row r="16" customFormat="false" ht="43.5" hidden="false" customHeight="true" outlineLevel="0" collapsed="false">
      <c r="A16" s="9" t="s">
        <v>202</v>
      </c>
      <c r="B16" s="5" t="s">
        <v>203</v>
      </c>
      <c r="C16" s="5" t="s">
        <v>204</v>
      </c>
      <c r="D16" s="14" t="s">
        <v>205</v>
      </c>
      <c r="E16" s="7" t="s">
        <v>125</v>
      </c>
      <c r="F16" s="7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U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54"/>
    <col collapsed="false" customWidth="true" hidden="false" outlineLevel="0" max="14" min="14" style="0" width="30"/>
    <col collapsed="false" customWidth="true" hidden="false" outlineLevel="0" max="17" min="15" style="0" width="34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30"/>
    <col collapsed="false" customWidth="true" hidden="false" outlineLevel="0" max="21" min="21" style="0" width="22"/>
  </cols>
  <sheetData>
    <row r="1" customFormat="false" ht="17.9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42" hidden="false" customHeight="true" outlineLevel="0" collapsed="false">
      <c r="A4" s="3" t="s">
        <v>209</v>
      </c>
      <c r="B4" s="3" t="s">
        <v>46</v>
      </c>
      <c r="C4" s="3" t="s">
        <v>210</v>
      </c>
      <c r="D4" s="3" t="s">
        <v>211</v>
      </c>
      <c r="E4" s="3" t="s">
        <v>212</v>
      </c>
      <c r="F4" s="3" t="s">
        <v>213</v>
      </c>
      <c r="G4" s="3" t="s">
        <v>214</v>
      </c>
      <c r="H4" s="3" t="s">
        <v>215</v>
      </c>
      <c r="I4" s="3" t="s">
        <v>216</v>
      </c>
      <c r="J4" s="3" t="s">
        <v>217</v>
      </c>
      <c r="K4" s="3" t="s">
        <v>218</v>
      </c>
      <c r="L4" s="3" t="s">
        <v>219</v>
      </c>
      <c r="M4" s="3" t="s">
        <v>220</v>
      </c>
      <c r="N4" s="3" t="s">
        <v>221</v>
      </c>
      <c r="O4" s="3" t="s">
        <v>222</v>
      </c>
      <c r="P4" s="3" t="s">
        <v>223</v>
      </c>
      <c r="Q4" s="3" t="s">
        <v>224</v>
      </c>
      <c r="R4" s="3" t="s">
        <v>225</v>
      </c>
      <c r="S4" s="3" t="s">
        <v>226</v>
      </c>
      <c r="T4" s="3" t="s">
        <v>227</v>
      </c>
      <c r="U4" s="3" t="s">
        <v>228</v>
      </c>
    </row>
    <row r="5" customFormat="false" ht="96" hidden="false" customHeight="true" outlineLevel="0" collapsed="false">
      <c r="A5" s="10" t="s">
        <v>48</v>
      </c>
      <c r="B5" s="4" t="s">
        <v>51</v>
      </c>
      <c r="C5" s="5" t="s">
        <v>229</v>
      </c>
      <c r="D5" s="5" t="s">
        <v>230</v>
      </c>
      <c r="E5" s="5" t="s">
        <v>231</v>
      </c>
      <c r="F5" s="10" t="s">
        <v>232</v>
      </c>
      <c r="G5" s="5" t="s">
        <v>233</v>
      </c>
      <c r="H5" s="5" t="s">
        <v>234</v>
      </c>
      <c r="I5" s="5" t="s">
        <v>235</v>
      </c>
      <c r="J5" s="10" t="s">
        <v>236</v>
      </c>
      <c r="K5" s="5" t="s">
        <v>152</v>
      </c>
      <c r="L5" s="5" t="s">
        <v>237</v>
      </c>
      <c r="M5" s="15" t="s">
        <v>238</v>
      </c>
      <c r="N5" s="15" t="s">
        <v>239</v>
      </c>
      <c r="O5" s="15" t="s">
        <v>240</v>
      </c>
      <c r="P5" s="15" t="s">
        <v>241</v>
      </c>
      <c r="Q5" s="15" t="s">
        <v>242</v>
      </c>
      <c r="R5" s="7" t="s">
        <v>243</v>
      </c>
      <c r="S5" s="6" t="s">
        <v>244</v>
      </c>
      <c r="T5" s="7" t="s">
        <v>245</v>
      </c>
      <c r="U5" s="7" t="s">
        <v>246</v>
      </c>
    </row>
    <row r="6" customFormat="false" ht="96" hidden="false" customHeight="true" outlineLevel="0" collapsed="false">
      <c r="A6" s="10" t="s">
        <v>53</v>
      </c>
      <c r="B6" s="4" t="s">
        <v>55</v>
      </c>
      <c r="C6" s="5" t="s">
        <v>229</v>
      </c>
      <c r="D6" s="5" t="s">
        <v>247</v>
      </c>
      <c r="E6" s="5" t="s">
        <v>248</v>
      </c>
      <c r="F6" s="10" t="s">
        <v>249</v>
      </c>
      <c r="G6" s="5" t="s">
        <v>250</v>
      </c>
      <c r="H6" s="5" t="s">
        <v>251</v>
      </c>
      <c r="I6" s="5" t="s">
        <v>252</v>
      </c>
      <c r="J6" s="10" t="s">
        <v>236</v>
      </c>
      <c r="K6" s="5" t="s">
        <v>253</v>
      </c>
      <c r="L6" s="5" t="s">
        <v>237</v>
      </c>
      <c r="M6" s="15" t="s">
        <v>254</v>
      </c>
      <c r="N6" s="15" t="s">
        <v>255</v>
      </c>
      <c r="O6" s="15" t="s">
        <v>256</v>
      </c>
      <c r="P6" s="15" t="s">
        <v>257</v>
      </c>
      <c r="Q6" s="15" t="s">
        <v>258</v>
      </c>
      <c r="R6" s="7" t="s">
        <v>82</v>
      </c>
      <c r="S6" s="6" t="s">
        <v>259</v>
      </c>
      <c r="T6" s="7" t="s">
        <v>260</v>
      </c>
      <c r="U6" s="7" t="s">
        <v>246</v>
      </c>
    </row>
    <row r="7" customFormat="false" ht="96" hidden="false" customHeight="true" outlineLevel="0" collapsed="false">
      <c r="A7" s="10" t="s">
        <v>56</v>
      </c>
      <c r="B7" s="4" t="s">
        <v>59</v>
      </c>
      <c r="C7" s="5" t="s">
        <v>229</v>
      </c>
      <c r="D7" s="5" t="s">
        <v>261</v>
      </c>
      <c r="E7" s="5" t="s">
        <v>262</v>
      </c>
      <c r="F7" s="10" t="s">
        <v>249</v>
      </c>
      <c r="G7" s="5" t="s">
        <v>250</v>
      </c>
      <c r="H7" s="5" t="s">
        <v>263</v>
      </c>
      <c r="I7" s="5" t="s">
        <v>264</v>
      </c>
      <c r="J7" s="10" t="s">
        <v>236</v>
      </c>
      <c r="K7" s="5" t="s">
        <v>265</v>
      </c>
      <c r="L7" s="5" t="s">
        <v>237</v>
      </c>
      <c r="M7" s="15" t="s">
        <v>266</v>
      </c>
      <c r="N7" s="15" t="s">
        <v>267</v>
      </c>
      <c r="O7" s="15" t="s">
        <v>268</v>
      </c>
      <c r="P7" s="15" t="s">
        <v>269</v>
      </c>
      <c r="Q7" s="15" t="s">
        <v>270</v>
      </c>
      <c r="R7" s="7" t="s">
        <v>271</v>
      </c>
      <c r="S7" s="6" t="s">
        <v>272</v>
      </c>
      <c r="T7" s="7" t="s">
        <v>260</v>
      </c>
      <c r="U7" s="7" t="s">
        <v>246</v>
      </c>
    </row>
    <row r="8" customFormat="false" ht="96" hidden="false" customHeight="true" outlineLevel="0" collapsed="false">
      <c r="A8" s="10" t="s">
        <v>60</v>
      </c>
      <c r="B8" s="4" t="s">
        <v>63</v>
      </c>
      <c r="C8" s="5" t="s">
        <v>229</v>
      </c>
      <c r="D8" s="5" t="s">
        <v>273</v>
      </c>
      <c r="E8" s="5" t="s">
        <v>274</v>
      </c>
      <c r="F8" s="10" t="s">
        <v>249</v>
      </c>
      <c r="G8" s="5" t="s">
        <v>275</v>
      </c>
      <c r="H8" s="5" t="s">
        <v>276</v>
      </c>
      <c r="I8" s="5" t="s">
        <v>277</v>
      </c>
      <c r="J8" s="10" t="s">
        <v>236</v>
      </c>
      <c r="K8" s="5" t="s">
        <v>187</v>
      </c>
      <c r="L8" s="5" t="s">
        <v>278</v>
      </c>
      <c r="M8" s="15" t="s">
        <v>279</v>
      </c>
      <c r="N8" s="15" t="s">
        <v>280</v>
      </c>
      <c r="O8" s="15" t="s">
        <v>281</v>
      </c>
      <c r="P8" s="15" t="s">
        <v>282</v>
      </c>
      <c r="Q8" s="15" t="s">
        <v>283</v>
      </c>
      <c r="R8" s="7" t="s">
        <v>64</v>
      </c>
      <c r="S8" s="6" t="s">
        <v>284</v>
      </c>
      <c r="T8" s="7" t="s">
        <v>285</v>
      </c>
      <c r="U8" s="7" t="s">
        <v>246</v>
      </c>
    </row>
    <row r="9" customFormat="false" ht="96" hidden="false" customHeight="true" outlineLevel="0" collapsed="false">
      <c r="A9" s="10" t="s">
        <v>64</v>
      </c>
      <c r="B9" s="4" t="s">
        <v>67</v>
      </c>
      <c r="C9" s="5" t="s">
        <v>229</v>
      </c>
      <c r="D9" s="5" t="s">
        <v>286</v>
      </c>
      <c r="E9" s="5" t="s">
        <v>274</v>
      </c>
      <c r="F9" s="10" t="s">
        <v>249</v>
      </c>
      <c r="G9" s="5" t="s">
        <v>275</v>
      </c>
      <c r="H9" s="5" t="s">
        <v>287</v>
      </c>
      <c r="I9" s="5" t="s">
        <v>288</v>
      </c>
      <c r="J9" s="10" t="s">
        <v>236</v>
      </c>
      <c r="K9" s="5" t="s">
        <v>193</v>
      </c>
      <c r="L9" s="5" t="s">
        <v>237</v>
      </c>
      <c r="M9" s="15" t="s">
        <v>289</v>
      </c>
      <c r="N9" s="15" t="s">
        <v>290</v>
      </c>
      <c r="O9" s="15" t="s">
        <v>291</v>
      </c>
      <c r="P9" s="15" t="s">
        <v>292</v>
      </c>
      <c r="Q9" s="15" t="s">
        <v>293</v>
      </c>
      <c r="R9" s="7" t="s">
        <v>294</v>
      </c>
      <c r="S9" s="6" t="s">
        <v>295</v>
      </c>
      <c r="T9" s="7" t="s">
        <v>285</v>
      </c>
      <c r="U9" s="7" t="s">
        <v>246</v>
      </c>
    </row>
    <row r="10" customFormat="false" ht="96" hidden="false" customHeight="true" outlineLevel="0" collapsed="false">
      <c r="A10" s="10" t="s">
        <v>68</v>
      </c>
      <c r="B10" s="4" t="s">
        <v>71</v>
      </c>
      <c r="C10" s="5" t="s">
        <v>229</v>
      </c>
      <c r="D10" s="5" t="s">
        <v>296</v>
      </c>
      <c r="E10" s="5" t="s">
        <v>297</v>
      </c>
      <c r="F10" s="10" t="s">
        <v>232</v>
      </c>
      <c r="G10" s="5" t="s">
        <v>298</v>
      </c>
      <c r="H10" s="5" t="s">
        <v>299</v>
      </c>
      <c r="I10" s="5" t="s">
        <v>300</v>
      </c>
      <c r="J10" s="10" t="s">
        <v>236</v>
      </c>
      <c r="K10" s="5" t="s">
        <v>301</v>
      </c>
      <c r="L10" s="5" t="s">
        <v>302</v>
      </c>
      <c r="M10" s="15" t="s">
        <v>303</v>
      </c>
      <c r="N10" s="15" t="s">
        <v>304</v>
      </c>
      <c r="O10" s="15" t="s">
        <v>305</v>
      </c>
      <c r="P10" s="15" t="s">
        <v>306</v>
      </c>
      <c r="Q10" s="15" t="s">
        <v>307</v>
      </c>
      <c r="R10" s="7" t="s">
        <v>243</v>
      </c>
      <c r="S10" s="6" t="s">
        <v>308</v>
      </c>
      <c r="T10" s="7" t="s">
        <v>260</v>
      </c>
      <c r="U10" s="7" t="s">
        <v>246</v>
      </c>
    </row>
    <row r="11" customFormat="false" ht="96" hidden="false" customHeight="true" outlineLevel="0" collapsed="false">
      <c r="A11" s="10" t="s">
        <v>72</v>
      </c>
      <c r="B11" s="4" t="s">
        <v>74</v>
      </c>
      <c r="C11" s="5" t="s">
        <v>309</v>
      </c>
      <c r="D11" s="5" t="s">
        <v>310</v>
      </c>
      <c r="E11" s="5" t="s">
        <v>311</v>
      </c>
      <c r="F11" s="10" t="s">
        <v>232</v>
      </c>
      <c r="G11" s="5" t="s">
        <v>25</v>
      </c>
      <c r="H11" s="5" t="s">
        <v>312</v>
      </c>
      <c r="I11" s="5" t="s">
        <v>313</v>
      </c>
      <c r="J11" s="10" t="s">
        <v>314</v>
      </c>
      <c r="K11" s="5" t="s">
        <v>315</v>
      </c>
      <c r="L11" s="5" t="s">
        <v>316</v>
      </c>
      <c r="M11" s="15" t="s">
        <v>317</v>
      </c>
      <c r="N11" s="15" t="s">
        <v>318</v>
      </c>
      <c r="O11" s="15" t="s">
        <v>319</v>
      </c>
      <c r="P11" s="15" t="s">
        <v>320</v>
      </c>
      <c r="Q11" s="15" t="s">
        <v>321</v>
      </c>
      <c r="R11" s="7" t="s">
        <v>322</v>
      </c>
      <c r="S11" s="6" t="s">
        <v>323</v>
      </c>
      <c r="T11" s="7" t="s">
        <v>260</v>
      </c>
      <c r="U11" s="7" t="s">
        <v>246</v>
      </c>
    </row>
    <row r="12" customFormat="false" ht="96" hidden="false" customHeight="true" outlineLevel="0" collapsed="false">
      <c r="A12" s="10" t="s">
        <v>75</v>
      </c>
      <c r="B12" s="4" t="s">
        <v>76</v>
      </c>
      <c r="C12" s="5" t="s">
        <v>309</v>
      </c>
      <c r="D12" s="5" t="s">
        <v>324</v>
      </c>
      <c r="E12" s="5" t="s">
        <v>325</v>
      </c>
      <c r="F12" s="10" t="s">
        <v>232</v>
      </c>
      <c r="G12" s="5" t="s">
        <v>326</v>
      </c>
      <c r="H12" s="5" t="s">
        <v>327</v>
      </c>
      <c r="I12" s="5" t="s">
        <v>328</v>
      </c>
      <c r="J12" s="10" t="s">
        <v>236</v>
      </c>
      <c r="K12" s="5" t="s">
        <v>329</v>
      </c>
      <c r="L12" s="5" t="s">
        <v>316</v>
      </c>
      <c r="M12" s="15" t="s">
        <v>330</v>
      </c>
      <c r="N12" s="15" t="s">
        <v>331</v>
      </c>
      <c r="O12" s="15" t="s">
        <v>332</v>
      </c>
      <c r="P12" s="15" t="s">
        <v>333</v>
      </c>
      <c r="Q12" s="15" t="s">
        <v>334</v>
      </c>
      <c r="R12" s="7" t="s">
        <v>335</v>
      </c>
      <c r="S12" s="6" t="s">
        <v>336</v>
      </c>
      <c r="T12" s="7" t="s">
        <v>337</v>
      </c>
      <c r="U12" s="7" t="s">
        <v>246</v>
      </c>
    </row>
    <row r="13" customFormat="false" ht="96" hidden="false" customHeight="true" outlineLevel="0" collapsed="false">
      <c r="A13" s="10" t="s">
        <v>77</v>
      </c>
      <c r="B13" s="4" t="s">
        <v>79</v>
      </c>
      <c r="C13" s="5" t="s">
        <v>309</v>
      </c>
      <c r="D13" s="5" t="s">
        <v>338</v>
      </c>
      <c r="E13" s="5" t="s">
        <v>339</v>
      </c>
      <c r="F13" s="10" t="s">
        <v>232</v>
      </c>
      <c r="G13" s="5" t="s">
        <v>340</v>
      </c>
      <c r="H13" s="5" t="s">
        <v>341</v>
      </c>
      <c r="I13" s="5" t="s">
        <v>342</v>
      </c>
      <c r="J13" s="10" t="s">
        <v>314</v>
      </c>
      <c r="K13" s="5" t="s">
        <v>315</v>
      </c>
      <c r="L13" s="5" t="s">
        <v>316</v>
      </c>
      <c r="M13" s="15" t="s">
        <v>343</v>
      </c>
      <c r="N13" s="15" t="s">
        <v>344</v>
      </c>
      <c r="O13" s="15" t="s">
        <v>345</v>
      </c>
      <c r="P13" s="15" t="s">
        <v>346</v>
      </c>
      <c r="Q13" s="15" t="s">
        <v>347</v>
      </c>
      <c r="R13" s="7" t="s">
        <v>322</v>
      </c>
      <c r="S13" s="6" t="s">
        <v>348</v>
      </c>
      <c r="T13" s="7" t="s">
        <v>260</v>
      </c>
      <c r="U13" s="7" t="s">
        <v>246</v>
      </c>
    </row>
    <row r="14" customFormat="false" ht="96" hidden="false" customHeight="true" outlineLevel="0" collapsed="false">
      <c r="A14" s="10" t="s">
        <v>80</v>
      </c>
      <c r="B14" s="4" t="s">
        <v>81</v>
      </c>
      <c r="C14" s="5" t="s">
        <v>309</v>
      </c>
      <c r="D14" s="5" t="s">
        <v>349</v>
      </c>
      <c r="E14" s="5" t="s">
        <v>297</v>
      </c>
      <c r="F14" s="10" t="s">
        <v>232</v>
      </c>
      <c r="G14" s="5" t="s">
        <v>25</v>
      </c>
      <c r="H14" s="5" t="s">
        <v>350</v>
      </c>
      <c r="I14" s="5" t="s">
        <v>148</v>
      </c>
      <c r="J14" s="10" t="s">
        <v>314</v>
      </c>
      <c r="K14" s="5" t="s">
        <v>315</v>
      </c>
      <c r="L14" s="5" t="s">
        <v>316</v>
      </c>
      <c r="M14" s="15" t="s">
        <v>351</v>
      </c>
      <c r="N14" s="15" t="s">
        <v>352</v>
      </c>
      <c r="O14" s="15" t="s">
        <v>353</v>
      </c>
      <c r="P14" s="15" t="s">
        <v>354</v>
      </c>
      <c r="Q14" s="15" t="s">
        <v>355</v>
      </c>
      <c r="R14" s="7" t="s">
        <v>322</v>
      </c>
      <c r="S14" s="6" t="s">
        <v>356</v>
      </c>
      <c r="T14" s="7" t="s">
        <v>260</v>
      </c>
      <c r="U14" s="7" t="s">
        <v>246</v>
      </c>
    </row>
    <row r="15" customFormat="false" ht="96" hidden="false" customHeight="true" outlineLevel="0" collapsed="false">
      <c r="A15" s="10" t="s">
        <v>82</v>
      </c>
      <c r="B15" s="4" t="s">
        <v>84</v>
      </c>
      <c r="C15" s="5" t="s">
        <v>309</v>
      </c>
      <c r="D15" s="5" t="s">
        <v>357</v>
      </c>
      <c r="E15" s="5" t="s">
        <v>262</v>
      </c>
      <c r="F15" s="10" t="s">
        <v>249</v>
      </c>
      <c r="G15" s="5" t="s">
        <v>350</v>
      </c>
      <c r="H15" s="5" t="s">
        <v>358</v>
      </c>
      <c r="I15" s="5" t="s">
        <v>252</v>
      </c>
      <c r="J15" s="10" t="s">
        <v>314</v>
      </c>
      <c r="K15" s="5" t="s">
        <v>315</v>
      </c>
      <c r="L15" s="5" t="s">
        <v>316</v>
      </c>
      <c r="M15" s="15" t="s">
        <v>359</v>
      </c>
      <c r="N15" s="15" t="s">
        <v>360</v>
      </c>
      <c r="O15" s="15" t="s">
        <v>361</v>
      </c>
      <c r="P15" s="15" t="s">
        <v>362</v>
      </c>
      <c r="Q15" s="15" t="s">
        <v>363</v>
      </c>
      <c r="R15" s="7" t="s">
        <v>53</v>
      </c>
      <c r="S15" s="6" t="s">
        <v>364</v>
      </c>
      <c r="T15" s="7" t="s">
        <v>260</v>
      </c>
      <c r="U15" s="7" t="s">
        <v>246</v>
      </c>
    </row>
    <row r="16" customFormat="false" ht="96" hidden="false" customHeight="true" outlineLevel="0" collapsed="false">
      <c r="A16" s="10" t="s">
        <v>85</v>
      </c>
      <c r="B16" s="4" t="s">
        <v>87</v>
      </c>
      <c r="C16" s="5" t="s">
        <v>309</v>
      </c>
      <c r="D16" s="5" t="s">
        <v>365</v>
      </c>
      <c r="E16" s="5" t="s">
        <v>366</v>
      </c>
      <c r="F16" s="10" t="s">
        <v>232</v>
      </c>
      <c r="G16" s="5" t="s">
        <v>25</v>
      </c>
      <c r="H16" s="5" t="s">
        <v>312</v>
      </c>
      <c r="I16" s="5" t="s">
        <v>367</v>
      </c>
      <c r="J16" s="10" t="s">
        <v>314</v>
      </c>
      <c r="K16" s="5" t="s">
        <v>315</v>
      </c>
      <c r="L16" s="5" t="s">
        <v>316</v>
      </c>
      <c r="M16" s="15" t="s">
        <v>368</v>
      </c>
      <c r="N16" s="15" t="s">
        <v>369</v>
      </c>
      <c r="O16" s="15" t="s">
        <v>370</v>
      </c>
      <c r="P16" s="15" t="s">
        <v>371</v>
      </c>
      <c r="Q16" s="15" t="s">
        <v>372</v>
      </c>
      <c r="R16" s="7" t="s">
        <v>322</v>
      </c>
      <c r="S16" s="6" t="s">
        <v>373</v>
      </c>
      <c r="T16" s="7" t="s">
        <v>260</v>
      </c>
      <c r="U16" s="7" t="s">
        <v>246</v>
      </c>
    </row>
    <row r="17" customFormat="false" ht="96" hidden="false" customHeight="true" outlineLevel="0" collapsed="false">
      <c r="A17" s="10" t="s">
        <v>88</v>
      </c>
      <c r="B17" s="4" t="s">
        <v>90</v>
      </c>
      <c r="C17" s="5" t="s">
        <v>374</v>
      </c>
      <c r="D17" s="5" t="s">
        <v>375</v>
      </c>
      <c r="E17" s="5" t="s">
        <v>325</v>
      </c>
      <c r="F17" s="10" t="s">
        <v>249</v>
      </c>
      <c r="G17" s="5" t="s">
        <v>376</v>
      </c>
      <c r="H17" s="5" t="s">
        <v>377</v>
      </c>
      <c r="I17" s="5" t="s">
        <v>189</v>
      </c>
      <c r="J17" s="10" t="s">
        <v>236</v>
      </c>
      <c r="K17" s="5" t="s">
        <v>181</v>
      </c>
      <c r="L17" s="5" t="s">
        <v>302</v>
      </c>
      <c r="M17" s="15" t="s">
        <v>378</v>
      </c>
      <c r="N17" s="15" t="s">
        <v>379</v>
      </c>
      <c r="O17" s="15" t="s">
        <v>380</v>
      </c>
      <c r="P17" s="15" t="s">
        <v>381</v>
      </c>
      <c r="Q17" s="15" t="s">
        <v>382</v>
      </c>
      <c r="R17" s="7" t="s">
        <v>107</v>
      </c>
      <c r="S17" s="6" t="s">
        <v>383</v>
      </c>
      <c r="T17" s="7" t="s">
        <v>260</v>
      </c>
      <c r="U17" s="7" t="s">
        <v>246</v>
      </c>
    </row>
    <row r="18" customFormat="false" ht="96" hidden="false" customHeight="true" outlineLevel="0" collapsed="false">
      <c r="A18" s="10" t="s">
        <v>91</v>
      </c>
      <c r="B18" s="4" t="s">
        <v>94</v>
      </c>
      <c r="C18" s="5" t="s">
        <v>384</v>
      </c>
      <c r="D18" s="5" t="s">
        <v>385</v>
      </c>
      <c r="E18" s="5" t="s">
        <v>297</v>
      </c>
      <c r="F18" s="10" t="s">
        <v>232</v>
      </c>
      <c r="G18" s="5" t="s">
        <v>25</v>
      </c>
      <c r="H18" s="5" t="s">
        <v>386</v>
      </c>
      <c r="I18" s="5" t="s">
        <v>387</v>
      </c>
      <c r="J18" s="10" t="s">
        <v>236</v>
      </c>
      <c r="K18" s="5" t="s">
        <v>165</v>
      </c>
      <c r="L18" s="5" t="s">
        <v>302</v>
      </c>
      <c r="M18" s="15" t="s">
        <v>388</v>
      </c>
      <c r="N18" s="15" t="s">
        <v>389</v>
      </c>
      <c r="O18" s="15" t="s">
        <v>390</v>
      </c>
      <c r="P18" s="15" t="s">
        <v>391</v>
      </c>
      <c r="Q18" s="15" t="s">
        <v>392</v>
      </c>
      <c r="R18" s="7" t="s">
        <v>393</v>
      </c>
      <c r="S18" s="6" t="s">
        <v>394</v>
      </c>
      <c r="T18" s="7" t="s">
        <v>395</v>
      </c>
      <c r="U18" s="7" t="s">
        <v>246</v>
      </c>
    </row>
    <row r="19" customFormat="false" ht="96" hidden="false" customHeight="true" outlineLevel="0" collapsed="false">
      <c r="A19" s="10" t="s">
        <v>95</v>
      </c>
      <c r="B19" s="4" t="s">
        <v>97</v>
      </c>
      <c r="C19" s="5" t="s">
        <v>396</v>
      </c>
      <c r="D19" s="5" t="s">
        <v>397</v>
      </c>
      <c r="E19" s="5" t="s">
        <v>398</v>
      </c>
      <c r="F19" s="10" t="s">
        <v>232</v>
      </c>
      <c r="G19" s="5" t="s">
        <v>399</v>
      </c>
      <c r="H19" s="5" t="s">
        <v>350</v>
      </c>
      <c r="I19" s="5" t="s">
        <v>400</v>
      </c>
      <c r="J19" s="10" t="s">
        <v>236</v>
      </c>
      <c r="K19" s="5" t="s">
        <v>165</v>
      </c>
      <c r="L19" s="5" t="s">
        <v>302</v>
      </c>
      <c r="M19" s="15" t="s">
        <v>401</v>
      </c>
      <c r="N19" s="15" t="s">
        <v>402</v>
      </c>
      <c r="O19" s="15" t="s">
        <v>403</v>
      </c>
      <c r="P19" s="15" t="s">
        <v>404</v>
      </c>
      <c r="Q19" s="15" t="s">
        <v>405</v>
      </c>
      <c r="R19" s="7" t="s">
        <v>406</v>
      </c>
      <c r="S19" s="6" t="s">
        <v>407</v>
      </c>
      <c r="T19" s="7" t="s">
        <v>260</v>
      </c>
      <c r="U19" s="7" t="s">
        <v>246</v>
      </c>
    </row>
    <row r="20" customFormat="false" ht="96" hidden="false" customHeight="true" outlineLevel="0" collapsed="false">
      <c r="A20" s="10" t="s">
        <v>98</v>
      </c>
      <c r="B20" s="4" t="s">
        <v>100</v>
      </c>
      <c r="C20" s="5" t="s">
        <v>396</v>
      </c>
      <c r="D20" s="5" t="s">
        <v>408</v>
      </c>
      <c r="E20" s="5" t="s">
        <v>409</v>
      </c>
      <c r="F20" s="10" t="s">
        <v>410</v>
      </c>
      <c r="G20" s="5" t="s">
        <v>25</v>
      </c>
      <c r="H20" s="5" t="s">
        <v>411</v>
      </c>
      <c r="I20" s="5" t="s">
        <v>412</v>
      </c>
      <c r="J20" s="10" t="s">
        <v>236</v>
      </c>
      <c r="K20" s="5" t="s">
        <v>413</v>
      </c>
      <c r="L20" s="5" t="s">
        <v>302</v>
      </c>
      <c r="M20" s="15" t="s">
        <v>414</v>
      </c>
      <c r="N20" s="15" t="s">
        <v>415</v>
      </c>
      <c r="O20" s="15" t="s">
        <v>416</v>
      </c>
      <c r="P20" s="15" t="s">
        <v>417</v>
      </c>
      <c r="Q20" s="15" t="s">
        <v>418</v>
      </c>
      <c r="R20" s="7" t="s">
        <v>419</v>
      </c>
      <c r="S20" s="6" t="s">
        <v>420</v>
      </c>
      <c r="T20" s="7" t="s">
        <v>260</v>
      </c>
      <c r="U20" s="7" t="s">
        <v>246</v>
      </c>
    </row>
    <row r="21" customFormat="false" ht="96" hidden="false" customHeight="true" outlineLevel="0" collapsed="false">
      <c r="A21" s="10" t="s">
        <v>101</v>
      </c>
      <c r="B21" s="4" t="s">
        <v>103</v>
      </c>
      <c r="C21" s="5" t="s">
        <v>421</v>
      </c>
      <c r="D21" s="5" t="s">
        <v>422</v>
      </c>
      <c r="E21" s="5" t="s">
        <v>398</v>
      </c>
      <c r="F21" s="10" t="s">
        <v>232</v>
      </c>
      <c r="G21" s="5" t="s">
        <v>423</v>
      </c>
      <c r="H21" s="5" t="s">
        <v>424</v>
      </c>
      <c r="I21" s="5" t="s">
        <v>425</v>
      </c>
      <c r="J21" s="10" t="s">
        <v>426</v>
      </c>
      <c r="K21" s="5" t="s">
        <v>427</v>
      </c>
      <c r="L21" s="5" t="s">
        <v>428</v>
      </c>
      <c r="M21" s="15" t="s">
        <v>429</v>
      </c>
      <c r="N21" s="15" t="s">
        <v>430</v>
      </c>
      <c r="O21" s="15" t="s">
        <v>431</v>
      </c>
      <c r="P21" s="15" t="s">
        <v>432</v>
      </c>
      <c r="Q21" s="15" t="s">
        <v>433</v>
      </c>
      <c r="R21" s="7" t="s">
        <v>434</v>
      </c>
      <c r="S21" s="6" t="s">
        <v>435</v>
      </c>
      <c r="T21" s="7" t="s">
        <v>260</v>
      </c>
      <c r="U21" s="7" t="s">
        <v>246</v>
      </c>
    </row>
    <row r="22" customFormat="false" ht="96" hidden="false" customHeight="true" outlineLevel="0" collapsed="false">
      <c r="A22" s="10" t="s">
        <v>104</v>
      </c>
      <c r="B22" s="4" t="s">
        <v>106</v>
      </c>
      <c r="C22" s="5" t="s">
        <v>421</v>
      </c>
      <c r="D22" s="5" t="s">
        <v>436</v>
      </c>
      <c r="E22" s="5" t="s">
        <v>437</v>
      </c>
      <c r="F22" s="10" t="s">
        <v>232</v>
      </c>
      <c r="G22" s="5" t="s">
        <v>438</v>
      </c>
      <c r="H22" s="5" t="s">
        <v>439</v>
      </c>
      <c r="I22" s="5" t="s">
        <v>440</v>
      </c>
      <c r="J22" s="10" t="s">
        <v>236</v>
      </c>
      <c r="K22" s="5" t="s">
        <v>441</v>
      </c>
      <c r="L22" s="5" t="s">
        <v>428</v>
      </c>
      <c r="M22" s="15" t="s">
        <v>442</v>
      </c>
      <c r="N22" s="15" t="s">
        <v>443</v>
      </c>
      <c r="O22" s="15" t="s">
        <v>444</v>
      </c>
      <c r="P22" s="15" t="s">
        <v>445</v>
      </c>
      <c r="Q22" s="15" t="s">
        <v>446</v>
      </c>
      <c r="R22" s="7" t="s">
        <v>335</v>
      </c>
      <c r="S22" s="6" t="s">
        <v>447</v>
      </c>
      <c r="T22" s="7" t="s">
        <v>260</v>
      </c>
      <c r="U22" s="7" t="s">
        <v>246</v>
      </c>
    </row>
    <row r="23" customFormat="false" ht="96" hidden="false" customHeight="true" outlineLevel="0" collapsed="false">
      <c r="A23" s="10" t="s">
        <v>107</v>
      </c>
      <c r="B23" s="4" t="s">
        <v>109</v>
      </c>
      <c r="C23" s="5" t="s">
        <v>421</v>
      </c>
      <c r="D23" s="5" t="s">
        <v>448</v>
      </c>
      <c r="E23" s="5" t="s">
        <v>325</v>
      </c>
      <c r="F23" s="10" t="s">
        <v>249</v>
      </c>
      <c r="G23" s="5" t="s">
        <v>449</v>
      </c>
      <c r="H23" s="5" t="s">
        <v>450</v>
      </c>
      <c r="I23" s="5" t="s">
        <v>451</v>
      </c>
      <c r="J23" s="10" t="s">
        <v>426</v>
      </c>
      <c r="K23" s="5" t="s">
        <v>452</v>
      </c>
      <c r="L23" s="5" t="s">
        <v>428</v>
      </c>
      <c r="M23" s="15" t="s">
        <v>453</v>
      </c>
      <c r="N23" s="15" t="s">
        <v>454</v>
      </c>
      <c r="O23" s="15" t="s">
        <v>455</v>
      </c>
      <c r="P23" s="15" t="s">
        <v>456</v>
      </c>
      <c r="Q23" s="15" t="s">
        <v>457</v>
      </c>
      <c r="R23" s="7" t="s">
        <v>458</v>
      </c>
      <c r="S23" s="6" t="s">
        <v>459</v>
      </c>
      <c r="T23" s="7" t="s">
        <v>260</v>
      </c>
      <c r="U23" s="7" t="s">
        <v>246</v>
      </c>
    </row>
    <row r="24" customFormat="false" ht="96" hidden="false" customHeight="true" outlineLevel="0" collapsed="false">
      <c r="A24" s="10" t="s">
        <v>110</v>
      </c>
      <c r="B24" s="4" t="s">
        <v>112</v>
      </c>
      <c r="C24" s="5" t="s">
        <v>421</v>
      </c>
      <c r="D24" s="5" t="s">
        <v>460</v>
      </c>
      <c r="E24" s="5" t="s">
        <v>325</v>
      </c>
      <c r="F24" s="10" t="s">
        <v>232</v>
      </c>
      <c r="G24" s="5" t="s">
        <v>461</v>
      </c>
      <c r="H24" s="5" t="s">
        <v>462</v>
      </c>
      <c r="I24" s="5" t="s">
        <v>463</v>
      </c>
      <c r="J24" s="10" t="s">
        <v>236</v>
      </c>
      <c r="K24" s="5" t="s">
        <v>464</v>
      </c>
      <c r="L24" s="5" t="s">
        <v>428</v>
      </c>
      <c r="M24" s="15" t="s">
        <v>465</v>
      </c>
      <c r="N24" s="15" t="s">
        <v>466</v>
      </c>
      <c r="O24" s="15" t="s">
        <v>467</v>
      </c>
      <c r="P24" s="15" t="s">
        <v>468</v>
      </c>
      <c r="Q24" s="15" t="s">
        <v>469</v>
      </c>
      <c r="R24" s="7" t="s">
        <v>470</v>
      </c>
      <c r="S24" s="6" t="s">
        <v>471</v>
      </c>
      <c r="T24" s="7" t="s">
        <v>260</v>
      </c>
      <c r="U24" s="7" t="s">
        <v>246</v>
      </c>
    </row>
    <row r="25" customFormat="false" ht="96" hidden="false" customHeight="true" outlineLevel="0" collapsed="false">
      <c r="A25" s="10" t="s">
        <v>113</v>
      </c>
      <c r="B25" s="4" t="s">
        <v>115</v>
      </c>
      <c r="C25" s="5" t="s">
        <v>472</v>
      </c>
      <c r="D25" s="5" t="s">
        <v>473</v>
      </c>
      <c r="E25" s="5" t="s">
        <v>474</v>
      </c>
      <c r="F25" s="10" t="s">
        <v>232</v>
      </c>
      <c r="G25" s="5" t="s">
        <v>25</v>
      </c>
      <c r="H25" s="5" t="s">
        <v>475</v>
      </c>
      <c r="I25" s="5" t="s">
        <v>476</v>
      </c>
      <c r="J25" s="10" t="s">
        <v>236</v>
      </c>
      <c r="K25" s="5" t="s">
        <v>165</v>
      </c>
      <c r="L25" s="5" t="s">
        <v>302</v>
      </c>
      <c r="M25" s="15" t="s">
        <v>477</v>
      </c>
      <c r="N25" s="15" t="s">
        <v>478</v>
      </c>
      <c r="O25" s="15" t="s">
        <v>479</v>
      </c>
      <c r="P25" s="15" t="s">
        <v>480</v>
      </c>
      <c r="Q25" s="15" t="s">
        <v>481</v>
      </c>
      <c r="R25" s="7" t="s">
        <v>77</v>
      </c>
      <c r="S25" s="6" t="s">
        <v>482</v>
      </c>
      <c r="T25" s="7" t="s">
        <v>260</v>
      </c>
      <c r="U25" s="7" t="s">
        <v>246</v>
      </c>
    </row>
    <row r="26" customFormat="false" ht="96" hidden="false" customHeight="true" outlineLevel="0" collapsed="false">
      <c r="A26" s="10" t="s">
        <v>116</v>
      </c>
      <c r="B26" s="4" t="s">
        <v>118</v>
      </c>
      <c r="C26" s="5" t="s">
        <v>483</v>
      </c>
      <c r="D26" s="5" t="s">
        <v>484</v>
      </c>
      <c r="E26" s="5" t="s">
        <v>325</v>
      </c>
      <c r="F26" s="10" t="s">
        <v>232</v>
      </c>
      <c r="G26" s="5" t="s">
        <v>322</v>
      </c>
      <c r="H26" s="5" t="s">
        <v>485</v>
      </c>
      <c r="I26" s="5" t="s">
        <v>486</v>
      </c>
      <c r="J26" s="10" t="s">
        <v>487</v>
      </c>
      <c r="K26" s="5" t="s">
        <v>315</v>
      </c>
      <c r="L26" s="5" t="s">
        <v>322</v>
      </c>
      <c r="M26" s="15" t="s">
        <v>488</v>
      </c>
      <c r="N26" s="15" t="s">
        <v>489</v>
      </c>
      <c r="O26" s="15" t="s">
        <v>490</v>
      </c>
      <c r="P26" s="15" t="s">
        <v>491</v>
      </c>
      <c r="Q26" s="15" t="s">
        <v>492</v>
      </c>
      <c r="R26" s="7" t="s">
        <v>322</v>
      </c>
      <c r="S26" s="6" t="s">
        <v>493</v>
      </c>
      <c r="T26" s="7" t="s">
        <v>260</v>
      </c>
      <c r="U26" s="7" t="s">
        <v>246</v>
      </c>
    </row>
    <row r="27" customFormat="false" ht="96" hidden="false" customHeight="true" outlineLevel="0" collapsed="false">
      <c r="A27" s="10" t="s">
        <v>119</v>
      </c>
      <c r="B27" s="4" t="s">
        <v>121</v>
      </c>
      <c r="C27" s="5" t="s">
        <v>483</v>
      </c>
      <c r="D27" s="5" t="s">
        <v>494</v>
      </c>
      <c r="E27" s="5" t="s">
        <v>325</v>
      </c>
      <c r="F27" s="10" t="s">
        <v>232</v>
      </c>
      <c r="G27" s="5" t="s">
        <v>322</v>
      </c>
      <c r="H27" s="5" t="s">
        <v>495</v>
      </c>
      <c r="I27" s="5" t="s">
        <v>486</v>
      </c>
      <c r="J27" s="10" t="s">
        <v>487</v>
      </c>
      <c r="K27" s="5" t="s">
        <v>315</v>
      </c>
      <c r="L27" s="5" t="s">
        <v>322</v>
      </c>
      <c r="M27" s="15" t="s">
        <v>496</v>
      </c>
      <c r="N27" s="15" t="s">
        <v>497</v>
      </c>
      <c r="O27" s="15" t="s">
        <v>498</v>
      </c>
      <c r="P27" s="15" t="s">
        <v>499</v>
      </c>
      <c r="Q27" s="15" t="s">
        <v>500</v>
      </c>
      <c r="R27" s="7" t="s">
        <v>322</v>
      </c>
      <c r="S27" s="6" t="s">
        <v>501</v>
      </c>
      <c r="T27" s="7" t="s">
        <v>260</v>
      </c>
      <c r="U27" s="7" t="s">
        <v>246</v>
      </c>
    </row>
    <row r="28" customFormat="false" ht="96" hidden="false" customHeight="true" outlineLevel="0" collapsed="false">
      <c r="A28" s="10" t="s">
        <v>122</v>
      </c>
      <c r="B28" s="4" t="s">
        <v>124</v>
      </c>
      <c r="C28" s="5" t="s">
        <v>502</v>
      </c>
      <c r="D28" s="5" t="s">
        <v>503</v>
      </c>
      <c r="E28" s="5" t="s">
        <v>504</v>
      </c>
      <c r="F28" s="10" t="s">
        <v>232</v>
      </c>
      <c r="G28" s="5" t="s">
        <v>505</v>
      </c>
      <c r="H28" s="5" t="s">
        <v>25</v>
      </c>
      <c r="I28" s="5" t="s">
        <v>506</v>
      </c>
      <c r="J28" s="10" t="s">
        <v>236</v>
      </c>
      <c r="K28" s="5" t="s">
        <v>170</v>
      </c>
      <c r="L28" s="5" t="s">
        <v>507</v>
      </c>
      <c r="M28" s="15" t="s">
        <v>508</v>
      </c>
      <c r="N28" s="15" t="s">
        <v>509</v>
      </c>
      <c r="O28" s="15" t="s">
        <v>510</v>
      </c>
      <c r="P28" s="15" t="s">
        <v>511</v>
      </c>
      <c r="Q28" s="15" t="s">
        <v>512</v>
      </c>
      <c r="R28" s="7" t="s">
        <v>513</v>
      </c>
      <c r="S28" s="6" t="s">
        <v>514</v>
      </c>
      <c r="T28" s="7" t="s">
        <v>515</v>
      </c>
      <c r="U28" s="7" t="s">
        <v>246</v>
      </c>
    </row>
    <row r="29" customFormat="false" ht="96" hidden="false" customHeight="true" outlineLevel="0" collapsed="false">
      <c r="A29" s="10" t="s">
        <v>125</v>
      </c>
      <c r="B29" s="4" t="s">
        <v>127</v>
      </c>
      <c r="C29" s="5" t="s">
        <v>516</v>
      </c>
      <c r="D29" s="5" t="s">
        <v>517</v>
      </c>
      <c r="E29" s="5" t="s">
        <v>325</v>
      </c>
      <c r="F29" s="10" t="s">
        <v>410</v>
      </c>
      <c r="G29" s="5" t="s">
        <v>518</v>
      </c>
      <c r="H29" s="5" t="s">
        <v>519</v>
      </c>
      <c r="I29" s="5" t="s">
        <v>520</v>
      </c>
      <c r="J29" s="10" t="s">
        <v>236</v>
      </c>
      <c r="K29" s="5" t="s">
        <v>521</v>
      </c>
      <c r="L29" s="5" t="s">
        <v>278</v>
      </c>
      <c r="M29" s="15" t="s">
        <v>522</v>
      </c>
      <c r="N29" s="15" t="s">
        <v>523</v>
      </c>
      <c r="O29" s="15" t="s">
        <v>524</v>
      </c>
      <c r="P29" s="15" t="s">
        <v>525</v>
      </c>
      <c r="Q29" s="15" t="s">
        <v>526</v>
      </c>
      <c r="R29" s="7" t="s">
        <v>527</v>
      </c>
      <c r="S29" s="6" t="s">
        <v>528</v>
      </c>
      <c r="T29" s="7" t="s">
        <v>529</v>
      </c>
      <c r="U29" s="7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2" min="10" style="0" width="11"/>
    <col collapsed="false" customWidth="true" hidden="false" outlineLevel="0" max="13" min="13" style="0" width="40"/>
  </cols>
  <sheetData>
    <row r="1" customFormat="false" ht="17.9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4" customFormat="false" ht="42" hidden="false" customHeight="true" outlineLevel="0" collapsed="false">
      <c r="A4" s="3" t="s">
        <v>532</v>
      </c>
      <c r="B4" s="3" t="s">
        <v>533</v>
      </c>
      <c r="C4" s="3" t="s">
        <v>144</v>
      </c>
      <c r="D4" s="3" t="s">
        <v>534</v>
      </c>
      <c r="E4" s="3" t="s">
        <v>535</v>
      </c>
      <c r="F4" s="3" t="s">
        <v>536</v>
      </c>
      <c r="G4" s="3" t="s">
        <v>213</v>
      </c>
      <c r="H4" s="3" t="s">
        <v>537</v>
      </c>
      <c r="I4" s="3" t="s">
        <v>538</v>
      </c>
      <c r="J4" s="3" t="s">
        <v>539</v>
      </c>
      <c r="K4" s="3" t="s">
        <v>540</v>
      </c>
      <c r="L4" s="3" t="s">
        <v>541</v>
      </c>
      <c r="M4" s="3" t="s">
        <v>542</v>
      </c>
    </row>
    <row r="5" customFormat="false" ht="60" hidden="false" customHeight="true" outlineLevel="0" collapsed="false">
      <c r="A5" s="10" t="s">
        <v>152</v>
      </c>
      <c r="B5" s="4" t="s">
        <v>543</v>
      </c>
      <c r="C5" s="5" t="s">
        <v>544</v>
      </c>
      <c r="D5" s="5" t="s">
        <v>545</v>
      </c>
      <c r="E5" s="5" t="s">
        <v>546</v>
      </c>
      <c r="F5" s="5" t="s">
        <v>547</v>
      </c>
      <c r="G5" s="5" t="s">
        <v>548</v>
      </c>
      <c r="H5" s="6" t="n">
        <f aca="false">COUNTIF(04_สถานการณ์!$B$5:$B$58,"IP-01")</f>
        <v>8</v>
      </c>
      <c r="I5" s="6" t="n">
        <f aca="false">COUNTIFS(04_สถานการณ์!$B$5:$B$58,"IP-01",04_สถานการณ์!$L$5:$L$58,"มีเครื่องมือหลัก")</f>
        <v>8</v>
      </c>
      <c r="J5" s="6" t="n">
        <f aca="false">COUNTIFS(04_สถานการณ์!$B$5:$B$58,"IP-01",04_สถานการณ์!$L$5:$L$58,"มีเฉพาะเครื่องมือเสริม")</f>
        <v>0</v>
      </c>
      <c r="K5" s="6" t="n">
        <f aca="false">COUNTIFS(04_สถานการณ์!$B$5:$B$58,"IP-01",04_สถานการณ์!$L$5:$L$58,"ไม่มีเครื่องมือในคลัง")</f>
        <v>0</v>
      </c>
      <c r="L5" s="6" t="s">
        <v>549</v>
      </c>
      <c r="M5" s="14" t="s">
        <v>550</v>
      </c>
    </row>
    <row r="6" customFormat="false" ht="60" hidden="false" customHeight="true" outlineLevel="0" collapsed="false">
      <c r="A6" s="10" t="s">
        <v>165</v>
      </c>
      <c r="B6" s="4" t="s">
        <v>551</v>
      </c>
      <c r="C6" s="5" t="s">
        <v>552</v>
      </c>
      <c r="D6" s="5" t="s">
        <v>161</v>
      </c>
      <c r="E6" s="5" t="s">
        <v>399</v>
      </c>
      <c r="F6" s="5" t="s">
        <v>553</v>
      </c>
      <c r="G6" s="5" t="s">
        <v>554</v>
      </c>
      <c r="H6" s="6" t="n">
        <f aca="false">COUNTIF(04_สถานการณ์!$B$5:$B$58,"IP-02")</f>
        <v>6</v>
      </c>
      <c r="I6" s="6" t="n">
        <f aca="false">COUNTIFS(04_สถานการณ์!$B$5:$B$58,"IP-02",04_สถานการณ์!$L$5:$L$58,"มีเครื่องมือหลัก")</f>
        <v>5</v>
      </c>
      <c r="J6" s="6" t="n">
        <f aca="false">COUNTIFS(04_สถานการณ์!$B$5:$B$58,"IP-02",04_สถานการณ์!$L$5:$L$58,"มีเฉพาะเครื่องมือเสริม")</f>
        <v>1</v>
      </c>
      <c r="K6" s="6" t="n">
        <f aca="false">COUNTIFS(04_สถานการณ์!$B$5:$B$58,"IP-02",04_สถานการณ์!$L$5:$L$58,"ไม่มีเครื่องมือในคลัง")</f>
        <v>0</v>
      </c>
      <c r="L6" s="6" t="s">
        <v>555</v>
      </c>
      <c r="M6" s="14" t="s">
        <v>556</v>
      </c>
    </row>
    <row r="7" customFormat="false" ht="60" hidden="false" customHeight="true" outlineLevel="0" collapsed="false">
      <c r="A7" s="10" t="s">
        <v>170</v>
      </c>
      <c r="B7" s="4" t="s">
        <v>557</v>
      </c>
      <c r="C7" s="5" t="s">
        <v>558</v>
      </c>
      <c r="D7" s="5" t="s">
        <v>166</v>
      </c>
      <c r="E7" s="5" t="s">
        <v>505</v>
      </c>
      <c r="F7" s="5" t="s">
        <v>559</v>
      </c>
      <c r="G7" s="5" t="s">
        <v>232</v>
      </c>
      <c r="H7" s="6" t="n">
        <f aca="false">COUNTIF(04_สถานการณ์!$B$5:$B$58,"IP-03")</f>
        <v>2</v>
      </c>
      <c r="I7" s="6" t="n">
        <f aca="false">COUNTIFS(04_สถานการณ์!$B$5:$B$58,"IP-03",04_สถานการณ์!$L$5:$L$58,"มีเครื่องมือหลัก")</f>
        <v>2</v>
      </c>
      <c r="J7" s="6" t="n">
        <f aca="false">COUNTIFS(04_สถานการณ์!$B$5:$B$58,"IP-03",04_สถานการณ์!$L$5:$L$58,"มีเฉพาะเครื่องมือเสริม")</f>
        <v>0</v>
      </c>
      <c r="K7" s="6" t="n">
        <f aca="false">COUNTIFS(04_สถานการณ์!$B$5:$B$58,"IP-03",04_สถานการณ์!$L$5:$L$58,"ไม่มีเครื่องมือในคลัง")</f>
        <v>0</v>
      </c>
      <c r="L7" s="6" t="s">
        <v>560</v>
      </c>
      <c r="M7" s="14" t="s">
        <v>561</v>
      </c>
    </row>
    <row r="8" customFormat="false" ht="60" hidden="false" customHeight="true" outlineLevel="0" collapsed="false">
      <c r="A8" s="10" t="s">
        <v>175</v>
      </c>
      <c r="B8" s="4" t="s">
        <v>562</v>
      </c>
      <c r="C8" s="5" t="s">
        <v>563</v>
      </c>
      <c r="D8" s="5" t="s">
        <v>171</v>
      </c>
      <c r="E8" s="5" t="s">
        <v>564</v>
      </c>
      <c r="F8" s="5" t="s">
        <v>565</v>
      </c>
      <c r="G8" s="5" t="s">
        <v>410</v>
      </c>
      <c r="H8" s="6" t="n">
        <f aca="false">COUNTIF(04_สถานการณ์!$B$5:$B$58,"IP-04")</f>
        <v>6</v>
      </c>
      <c r="I8" s="6" t="n">
        <f aca="false">COUNTIFS(04_สถานการณ์!$B$5:$B$58,"IP-04",04_สถานการณ์!$L$5:$L$58,"มีเครื่องมือหลัก")</f>
        <v>2</v>
      </c>
      <c r="J8" s="6" t="n">
        <f aca="false">COUNTIFS(04_สถานการณ์!$B$5:$B$58,"IP-04",04_สถานการณ์!$L$5:$L$58,"มีเฉพาะเครื่องมือเสริม")</f>
        <v>2</v>
      </c>
      <c r="K8" s="6" t="n">
        <f aca="false">COUNTIFS(04_สถานการณ์!$B$5:$B$58,"IP-04",04_สถานการณ์!$L$5:$L$58,"ไม่มีเครื่องมือในคลัง")</f>
        <v>2</v>
      </c>
      <c r="L8" s="6" t="s">
        <v>566</v>
      </c>
      <c r="M8" s="14" t="s">
        <v>567</v>
      </c>
    </row>
    <row r="9" customFormat="false" ht="60" hidden="false" customHeight="true" outlineLevel="0" collapsed="false">
      <c r="A9" s="10" t="s">
        <v>187</v>
      </c>
      <c r="B9" s="4" t="s">
        <v>568</v>
      </c>
      <c r="C9" s="5" t="s">
        <v>569</v>
      </c>
      <c r="D9" s="5" t="s">
        <v>182</v>
      </c>
      <c r="E9" s="5" t="s">
        <v>570</v>
      </c>
      <c r="F9" s="5" t="s">
        <v>571</v>
      </c>
      <c r="G9" s="5" t="s">
        <v>572</v>
      </c>
      <c r="H9" s="6" t="n">
        <f aca="false">COUNTIF(04_สถานการณ์!$B$5:$B$58,"IP-05")</f>
        <v>7</v>
      </c>
      <c r="I9" s="6" t="n">
        <f aca="false">COUNTIFS(04_สถานการณ์!$B$5:$B$58,"IP-05",04_สถานการณ์!$L$5:$L$58,"มีเครื่องมือหลัก")</f>
        <v>6</v>
      </c>
      <c r="J9" s="6" t="n">
        <f aca="false">COUNTIFS(04_สถานการณ์!$B$5:$B$58,"IP-05",04_สถานการณ์!$L$5:$L$58,"มีเฉพาะเครื่องมือเสริม")</f>
        <v>0</v>
      </c>
      <c r="K9" s="6" t="n">
        <f aca="false">COUNTIFS(04_สถานการณ์!$B$5:$B$58,"IP-05",04_สถานการณ์!$L$5:$L$58,"ไม่มีเครื่องมือในคลัง")</f>
        <v>1</v>
      </c>
      <c r="L9" s="6" t="s">
        <v>573</v>
      </c>
      <c r="M9" s="14" t="s">
        <v>574</v>
      </c>
    </row>
    <row r="10" customFormat="false" ht="60" hidden="false" customHeight="true" outlineLevel="0" collapsed="false">
      <c r="A10" s="10" t="s">
        <v>193</v>
      </c>
      <c r="B10" s="4" t="s">
        <v>575</v>
      </c>
      <c r="C10" s="5" t="s">
        <v>576</v>
      </c>
      <c r="D10" s="5" t="s">
        <v>577</v>
      </c>
      <c r="E10" s="5" t="s">
        <v>578</v>
      </c>
      <c r="F10" s="5" t="s">
        <v>579</v>
      </c>
      <c r="G10" s="5" t="s">
        <v>572</v>
      </c>
      <c r="H10" s="6" t="n">
        <f aca="false">COUNTIF(04_สถานการณ์!$B$5:$B$58,"IP-06")</f>
        <v>10</v>
      </c>
      <c r="I10" s="6" t="n">
        <f aca="false">COUNTIFS(04_สถานการณ์!$B$5:$B$58,"IP-06",04_สถานการณ์!$L$5:$L$58,"มีเครื่องมือหลัก")</f>
        <v>7</v>
      </c>
      <c r="J10" s="6" t="n">
        <f aca="false">COUNTIFS(04_สถานการณ์!$B$5:$B$58,"IP-06",04_สถานการณ์!$L$5:$L$58,"มีเฉพาะเครื่องมือเสริม")</f>
        <v>3</v>
      </c>
      <c r="K10" s="6" t="n">
        <f aca="false">COUNTIFS(04_สถานการณ์!$B$5:$B$58,"IP-06",04_สถานการณ์!$L$5:$L$58,"ไม่มีเครื่องมือในคลัง")</f>
        <v>0</v>
      </c>
      <c r="L10" s="6" t="s">
        <v>580</v>
      </c>
      <c r="M10" s="14" t="s">
        <v>581</v>
      </c>
    </row>
    <row r="11" customFormat="false" ht="60" hidden="false" customHeight="true" outlineLevel="0" collapsed="false">
      <c r="A11" s="10" t="s">
        <v>181</v>
      </c>
      <c r="B11" s="4" t="s">
        <v>582</v>
      </c>
      <c r="C11" s="5" t="s">
        <v>583</v>
      </c>
      <c r="D11" s="5" t="s">
        <v>584</v>
      </c>
      <c r="E11" s="5" t="s">
        <v>585</v>
      </c>
      <c r="F11" s="5" t="s">
        <v>586</v>
      </c>
      <c r="G11" s="5" t="s">
        <v>572</v>
      </c>
      <c r="H11" s="6" t="n">
        <f aca="false">COUNTIF(04_สถานการณ์!$B$5:$B$58,"IP-07")</f>
        <v>8</v>
      </c>
      <c r="I11" s="6" t="n">
        <f aca="false">COUNTIFS(04_สถานการณ์!$B$5:$B$58,"IP-07",04_สถานการณ์!$L$5:$L$58,"มีเครื่องมือหลัก")</f>
        <v>6</v>
      </c>
      <c r="J11" s="6" t="n">
        <f aca="false">COUNTIFS(04_สถานการณ์!$B$5:$B$58,"IP-07",04_สถานการณ์!$L$5:$L$58,"มีเฉพาะเครื่องมือเสริม")</f>
        <v>2</v>
      </c>
      <c r="K11" s="6" t="n">
        <f aca="false">COUNTIFS(04_สถานการณ์!$B$5:$B$58,"IP-07",04_สถานการณ์!$L$5:$L$58,"ไม่มีเครื่องมือในคลัง")</f>
        <v>0</v>
      </c>
      <c r="L11" s="6" t="s">
        <v>587</v>
      </c>
      <c r="M11" s="14" t="s">
        <v>588</v>
      </c>
    </row>
    <row r="12" customFormat="false" ht="60" hidden="false" customHeight="true" outlineLevel="0" collapsed="false">
      <c r="A12" s="10" t="s">
        <v>206</v>
      </c>
      <c r="B12" s="4" t="s">
        <v>589</v>
      </c>
      <c r="C12" s="5" t="s">
        <v>590</v>
      </c>
      <c r="D12" s="5" t="s">
        <v>202</v>
      </c>
      <c r="E12" s="5" t="s">
        <v>518</v>
      </c>
      <c r="F12" s="5" t="s">
        <v>591</v>
      </c>
      <c r="G12" s="5" t="s">
        <v>410</v>
      </c>
      <c r="H12" s="6" t="n">
        <f aca="false">COUNTIF(04_สถานการณ์!$B$5:$B$58,"IP-08")</f>
        <v>3</v>
      </c>
      <c r="I12" s="6" t="n">
        <f aca="false">COUNTIFS(04_สถานการณ์!$B$5:$B$58,"IP-08",04_สถานการณ์!$L$5:$L$58,"มีเครื่องมือหลัก")</f>
        <v>3</v>
      </c>
      <c r="J12" s="6" t="n">
        <f aca="false">COUNTIFS(04_สถานการณ์!$B$5:$B$58,"IP-08",04_สถานการณ์!$L$5:$L$58,"มีเฉพาะเครื่องมือเสริม")</f>
        <v>0</v>
      </c>
      <c r="K12" s="6" t="n">
        <f aca="false">COUNTIFS(04_สถานการณ์!$B$5:$B$58,"IP-08",04_สถานการณ์!$L$5:$L$58,"ไม่มีเครื่องมือในคลัง")</f>
        <v>0</v>
      </c>
      <c r="L12" s="6" t="s">
        <v>592</v>
      </c>
      <c r="M12" s="14" t="s">
        <v>593</v>
      </c>
    </row>
    <row r="13" customFormat="false" ht="60" hidden="false" customHeight="true" outlineLevel="0" collapsed="false">
      <c r="A13" s="10" t="s">
        <v>441</v>
      </c>
      <c r="B13" s="4" t="s">
        <v>594</v>
      </c>
      <c r="C13" s="5" t="s">
        <v>595</v>
      </c>
      <c r="D13" s="5" t="s">
        <v>596</v>
      </c>
      <c r="E13" s="5" t="s">
        <v>438</v>
      </c>
      <c r="F13" s="5" t="s">
        <v>440</v>
      </c>
      <c r="G13" s="5" t="s">
        <v>597</v>
      </c>
      <c r="H13" s="6" t="n">
        <f aca="false">COUNTIF(04_สถานการณ์!$B$5:$B$58,"IP-09")</f>
        <v>4</v>
      </c>
      <c r="I13" s="6" t="n">
        <f aca="false">COUNTIFS(04_สถานการณ์!$B$5:$B$58,"IP-09",04_สถานการณ์!$L$5:$L$58,"มีเครื่องมือหลัก")</f>
        <v>2</v>
      </c>
      <c r="J13" s="6" t="n">
        <f aca="false">COUNTIFS(04_สถานการณ์!$B$5:$B$58,"IP-09",04_สถานการณ์!$L$5:$L$58,"มีเฉพาะเครื่องมือเสริม")</f>
        <v>2</v>
      </c>
      <c r="K13" s="6" t="n">
        <f aca="false">COUNTIFS(04_สถานการณ์!$B$5:$B$58,"IP-09",04_สถานการณ์!$L$5:$L$58,"ไม่มีเครื่องมือในคลัง")</f>
        <v>0</v>
      </c>
      <c r="L13" s="6" t="s">
        <v>598</v>
      </c>
      <c r="M13" s="14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40"/>
    <col collapsed="false" customWidth="true" hidden="false" outlineLevel="0" max="10" min="10" style="0" width="3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17.9" hidden="false" customHeight="false" outlineLevel="0" collapsed="false">
      <c r="A1" s="1" t="s">
        <v>600</v>
      </c>
    </row>
    <row r="2" customFormat="false" ht="15" hidden="false" customHeight="false" outlineLevel="0" collapsed="false">
      <c r="A2" s="2" t="s">
        <v>601</v>
      </c>
    </row>
    <row r="4" customFormat="false" ht="42" hidden="false" customHeight="true" outlineLevel="0" collapsed="false">
      <c r="A4" s="3" t="s">
        <v>209</v>
      </c>
      <c r="B4" s="3" t="s">
        <v>17</v>
      </c>
      <c r="C4" s="3" t="s">
        <v>602</v>
      </c>
      <c r="D4" s="3" t="s">
        <v>603</v>
      </c>
      <c r="E4" s="3" t="s">
        <v>212</v>
      </c>
      <c r="F4" s="3" t="s">
        <v>213</v>
      </c>
      <c r="G4" s="3" t="s">
        <v>219</v>
      </c>
      <c r="H4" s="3" t="s">
        <v>604</v>
      </c>
      <c r="I4" s="3" t="s">
        <v>605</v>
      </c>
      <c r="J4" s="3" t="s">
        <v>606</v>
      </c>
      <c r="K4" s="3" t="s">
        <v>607</v>
      </c>
      <c r="L4" s="3" t="s">
        <v>47</v>
      </c>
      <c r="M4" s="3" t="s">
        <v>608</v>
      </c>
      <c r="N4" s="3" t="s">
        <v>541</v>
      </c>
    </row>
    <row r="5" customFormat="false" ht="39.75" hidden="false" customHeight="true" outlineLevel="0" collapsed="false">
      <c r="A5" s="6" t="s">
        <v>40</v>
      </c>
      <c r="B5" s="6" t="s">
        <v>152</v>
      </c>
      <c r="C5" s="6" t="s">
        <v>609</v>
      </c>
      <c r="D5" s="7" t="s">
        <v>610</v>
      </c>
      <c r="E5" s="7" t="s">
        <v>611</v>
      </c>
      <c r="F5" s="6" t="s">
        <v>232</v>
      </c>
      <c r="G5" s="7" t="s">
        <v>237</v>
      </c>
      <c r="H5" s="7" t="s">
        <v>612</v>
      </c>
      <c r="I5" s="13" t="s">
        <v>613</v>
      </c>
      <c r="J5" s="13" t="s">
        <v>613</v>
      </c>
      <c r="K5" s="7" t="s">
        <v>322</v>
      </c>
      <c r="L5" s="16" t="s">
        <v>538</v>
      </c>
      <c r="M5" s="7"/>
      <c r="N5" s="6" t="s">
        <v>549</v>
      </c>
    </row>
    <row r="6" customFormat="false" ht="39.75" hidden="false" customHeight="true" outlineLevel="0" collapsed="false">
      <c r="A6" s="6" t="s">
        <v>614</v>
      </c>
      <c r="B6" s="6" t="s">
        <v>152</v>
      </c>
      <c r="C6" s="6" t="s">
        <v>609</v>
      </c>
      <c r="D6" s="7" t="s">
        <v>610</v>
      </c>
      <c r="E6" s="7" t="s">
        <v>30</v>
      </c>
      <c r="F6" s="6" t="s">
        <v>232</v>
      </c>
      <c r="G6" s="7" t="s">
        <v>237</v>
      </c>
      <c r="H6" s="7" t="s">
        <v>612</v>
      </c>
      <c r="I6" s="13" t="s">
        <v>613</v>
      </c>
      <c r="J6" s="13" t="s">
        <v>613</v>
      </c>
      <c r="K6" s="7" t="s">
        <v>322</v>
      </c>
      <c r="L6" s="16" t="s">
        <v>538</v>
      </c>
      <c r="M6" s="7"/>
      <c r="N6" s="6" t="s">
        <v>549</v>
      </c>
    </row>
    <row r="7" customFormat="false" ht="39.75" hidden="false" customHeight="true" outlineLevel="0" collapsed="false">
      <c r="A7" s="6" t="s">
        <v>615</v>
      </c>
      <c r="B7" s="6" t="s">
        <v>152</v>
      </c>
      <c r="C7" s="6" t="s">
        <v>609</v>
      </c>
      <c r="D7" s="7" t="s">
        <v>610</v>
      </c>
      <c r="E7" s="7" t="s">
        <v>616</v>
      </c>
      <c r="F7" s="6" t="s">
        <v>232</v>
      </c>
      <c r="G7" s="7" t="s">
        <v>237</v>
      </c>
      <c r="H7" s="7" t="s">
        <v>617</v>
      </c>
      <c r="I7" s="13" t="s">
        <v>613</v>
      </c>
      <c r="J7" s="7" t="s">
        <v>618</v>
      </c>
      <c r="K7" s="7" t="s">
        <v>322</v>
      </c>
      <c r="L7" s="16" t="s">
        <v>538</v>
      </c>
      <c r="M7" s="7"/>
      <c r="N7" s="6" t="s">
        <v>549</v>
      </c>
    </row>
    <row r="8" customFormat="false" ht="39.75" hidden="false" customHeight="true" outlineLevel="0" collapsed="false">
      <c r="A8" s="6" t="s">
        <v>619</v>
      </c>
      <c r="B8" s="6" t="s">
        <v>152</v>
      </c>
      <c r="C8" s="6" t="s">
        <v>609</v>
      </c>
      <c r="D8" s="7" t="s">
        <v>610</v>
      </c>
      <c r="E8" s="7" t="s">
        <v>616</v>
      </c>
      <c r="F8" s="6" t="s">
        <v>410</v>
      </c>
      <c r="G8" s="7" t="s">
        <v>237</v>
      </c>
      <c r="H8" s="7" t="s">
        <v>620</v>
      </c>
      <c r="I8" s="13" t="s">
        <v>613</v>
      </c>
      <c r="J8" s="7" t="s">
        <v>618</v>
      </c>
      <c r="K8" s="7" t="s">
        <v>322</v>
      </c>
      <c r="L8" s="16" t="s">
        <v>538</v>
      </c>
      <c r="M8" s="7"/>
      <c r="N8" s="6" t="s">
        <v>549</v>
      </c>
    </row>
    <row r="9" customFormat="false" ht="39.75" hidden="false" customHeight="true" outlineLevel="0" collapsed="false">
      <c r="A9" s="6" t="s">
        <v>621</v>
      </c>
      <c r="B9" s="6" t="s">
        <v>152</v>
      </c>
      <c r="C9" s="6" t="s">
        <v>609</v>
      </c>
      <c r="D9" s="7" t="s">
        <v>622</v>
      </c>
      <c r="E9" s="7" t="s">
        <v>611</v>
      </c>
      <c r="F9" s="6" t="s">
        <v>232</v>
      </c>
      <c r="G9" s="7" t="s">
        <v>237</v>
      </c>
      <c r="H9" s="7" t="s">
        <v>612</v>
      </c>
      <c r="I9" s="13" t="s">
        <v>613</v>
      </c>
      <c r="J9" s="13" t="s">
        <v>613</v>
      </c>
      <c r="K9" s="7" t="s">
        <v>322</v>
      </c>
      <c r="L9" s="16" t="s">
        <v>538</v>
      </c>
      <c r="M9" s="7"/>
      <c r="N9" s="6" t="s">
        <v>549</v>
      </c>
    </row>
    <row r="10" customFormat="false" ht="39.75" hidden="false" customHeight="true" outlineLevel="0" collapsed="false">
      <c r="A10" s="6" t="s">
        <v>623</v>
      </c>
      <c r="B10" s="6" t="s">
        <v>152</v>
      </c>
      <c r="C10" s="6" t="s">
        <v>609</v>
      </c>
      <c r="D10" s="7" t="s">
        <v>622</v>
      </c>
      <c r="E10" s="7" t="s">
        <v>30</v>
      </c>
      <c r="F10" s="6" t="s">
        <v>232</v>
      </c>
      <c r="G10" s="7" t="s">
        <v>237</v>
      </c>
      <c r="H10" s="7" t="s">
        <v>612</v>
      </c>
      <c r="I10" s="13" t="s">
        <v>613</v>
      </c>
      <c r="J10" s="13" t="s">
        <v>613</v>
      </c>
      <c r="K10" s="7" t="s">
        <v>322</v>
      </c>
      <c r="L10" s="16" t="s">
        <v>538</v>
      </c>
      <c r="M10" s="7"/>
      <c r="N10" s="6" t="s">
        <v>549</v>
      </c>
    </row>
    <row r="11" customFormat="false" ht="39.75" hidden="false" customHeight="true" outlineLevel="0" collapsed="false">
      <c r="A11" s="6" t="s">
        <v>624</v>
      </c>
      <c r="B11" s="6" t="s">
        <v>152</v>
      </c>
      <c r="C11" s="6" t="s">
        <v>609</v>
      </c>
      <c r="D11" s="7" t="s">
        <v>350</v>
      </c>
      <c r="E11" s="7" t="s">
        <v>616</v>
      </c>
      <c r="F11" s="6" t="s">
        <v>232</v>
      </c>
      <c r="G11" s="7" t="s">
        <v>237</v>
      </c>
      <c r="H11" s="7" t="s">
        <v>620</v>
      </c>
      <c r="I11" s="7" t="s">
        <v>612</v>
      </c>
      <c r="J11" s="7" t="s">
        <v>625</v>
      </c>
      <c r="K11" s="7" t="s">
        <v>322</v>
      </c>
      <c r="L11" s="16" t="s">
        <v>538</v>
      </c>
      <c r="M11" s="7"/>
      <c r="N11" s="6" t="s">
        <v>549</v>
      </c>
    </row>
    <row r="12" customFormat="false" ht="39.75" hidden="false" customHeight="true" outlineLevel="0" collapsed="false">
      <c r="A12" s="6" t="s">
        <v>626</v>
      </c>
      <c r="B12" s="6" t="s">
        <v>152</v>
      </c>
      <c r="C12" s="6" t="s">
        <v>609</v>
      </c>
      <c r="D12" s="7" t="s">
        <v>350</v>
      </c>
      <c r="E12" s="7" t="s">
        <v>616</v>
      </c>
      <c r="F12" s="6" t="s">
        <v>410</v>
      </c>
      <c r="G12" s="7" t="s">
        <v>237</v>
      </c>
      <c r="H12" s="7" t="s">
        <v>620</v>
      </c>
      <c r="I12" s="13" t="s">
        <v>613</v>
      </c>
      <c r="J12" s="7" t="s">
        <v>618</v>
      </c>
      <c r="K12" s="7" t="s">
        <v>322</v>
      </c>
      <c r="L12" s="16" t="s">
        <v>538</v>
      </c>
      <c r="M12" s="7"/>
      <c r="N12" s="6" t="s">
        <v>549</v>
      </c>
    </row>
    <row r="13" customFormat="false" ht="39.75" hidden="false" customHeight="true" outlineLevel="0" collapsed="false">
      <c r="A13" s="6" t="s">
        <v>627</v>
      </c>
      <c r="B13" s="6" t="s">
        <v>165</v>
      </c>
      <c r="C13" s="6" t="s">
        <v>609</v>
      </c>
      <c r="D13" s="7" t="s">
        <v>25</v>
      </c>
      <c r="E13" s="7" t="s">
        <v>628</v>
      </c>
      <c r="F13" s="6" t="s">
        <v>232</v>
      </c>
      <c r="G13" s="7" t="s">
        <v>302</v>
      </c>
      <c r="H13" s="7" t="s">
        <v>629</v>
      </c>
      <c r="I13" s="13" t="s">
        <v>613</v>
      </c>
      <c r="J13" s="13" t="s">
        <v>613</v>
      </c>
      <c r="K13" s="7" t="s">
        <v>322</v>
      </c>
      <c r="L13" s="16" t="s">
        <v>538</v>
      </c>
      <c r="M13" s="7"/>
      <c r="N13" s="6" t="s">
        <v>555</v>
      </c>
    </row>
    <row r="14" customFormat="false" ht="39.75" hidden="false" customHeight="true" outlineLevel="0" collapsed="false">
      <c r="A14" s="6" t="s">
        <v>630</v>
      </c>
      <c r="B14" s="6" t="s">
        <v>165</v>
      </c>
      <c r="C14" s="6" t="s">
        <v>609</v>
      </c>
      <c r="D14" s="7" t="s">
        <v>25</v>
      </c>
      <c r="E14" s="7" t="s">
        <v>611</v>
      </c>
      <c r="F14" s="6" t="s">
        <v>232</v>
      </c>
      <c r="G14" s="7" t="s">
        <v>302</v>
      </c>
      <c r="H14" s="7" t="s">
        <v>631</v>
      </c>
      <c r="I14" s="13" t="s">
        <v>613</v>
      </c>
      <c r="J14" s="7" t="s">
        <v>632</v>
      </c>
      <c r="K14" s="7" t="s">
        <v>322</v>
      </c>
      <c r="L14" s="16" t="s">
        <v>538</v>
      </c>
      <c r="M14" s="7"/>
      <c r="N14" s="6" t="s">
        <v>555</v>
      </c>
    </row>
    <row r="15" customFormat="false" ht="39.75" hidden="false" customHeight="true" outlineLevel="0" collapsed="false">
      <c r="A15" s="6" t="s">
        <v>633</v>
      </c>
      <c r="B15" s="6" t="s">
        <v>165</v>
      </c>
      <c r="C15" s="6" t="s">
        <v>609</v>
      </c>
      <c r="D15" s="7" t="s">
        <v>25</v>
      </c>
      <c r="E15" s="7" t="s">
        <v>30</v>
      </c>
      <c r="F15" s="6" t="s">
        <v>232</v>
      </c>
      <c r="G15" s="7" t="s">
        <v>302</v>
      </c>
      <c r="H15" s="7" t="s">
        <v>634</v>
      </c>
      <c r="I15" s="13" t="s">
        <v>613</v>
      </c>
      <c r="J15" s="7" t="s">
        <v>635</v>
      </c>
      <c r="K15" s="7" t="s">
        <v>322</v>
      </c>
      <c r="L15" s="16" t="s">
        <v>538</v>
      </c>
      <c r="M15" s="7"/>
      <c r="N15" s="6" t="s">
        <v>555</v>
      </c>
    </row>
    <row r="16" customFormat="false" ht="39.75" hidden="false" customHeight="true" outlineLevel="0" collapsed="false">
      <c r="A16" s="6" t="s">
        <v>636</v>
      </c>
      <c r="B16" s="6" t="s">
        <v>165</v>
      </c>
      <c r="C16" s="6" t="s">
        <v>609</v>
      </c>
      <c r="D16" s="7" t="s">
        <v>25</v>
      </c>
      <c r="E16" s="7" t="s">
        <v>637</v>
      </c>
      <c r="F16" s="6" t="s">
        <v>410</v>
      </c>
      <c r="G16" s="7" t="s">
        <v>302</v>
      </c>
      <c r="H16" s="7" t="s">
        <v>638</v>
      </c>
      <c r="I16" s="13" t="s">
        <v>613</v>
      </c>
      <c r="J16" s="13" t="s">
        <v>613</v>
      </c>
      <c r="K16" s="7" t="s">
        <v>322</v>
      </c>
      <c r="L16" s="16" t="s">
        <v>538</v>
      </c>
      <c r="M16" s="7"/>
      <c r="N16" s="6" t="s">
        <v>555</v>
      </c>
    </row>
    <row r="17" customFormat="false" ht="39.75" hidden="false" customHeight="true" outlineLevel="0" collapsed="false">
      <c r="A17" s="6" t="s">
        <v>639</v>
      </c>
      <c r="B17" s="6" t="s">
        <v>165</v>
      </c>
      <c r="C17" s="6" t="s">
        <v>609</v>
      </c>
      <c r="D17" s="7" t="s">
        <v>423</v>
      </c>
      <c r="E17" s="7" t="s">
        <v>30</v>
      </c>
      <c r="F17" s="6" t="s">
        <v>232</v>
      </c>
      <c r="G17" s="7" t="s">
        <v>302</v>
      </c>
      <c r="H17" s="7" t="s">
        <v>35</v>
      </c>
      <c r="I17" s="7" t="s">
        <v>631</v>
      </c>
      <c r="J17" s="13" t="s">
        <v>613</v>
      </c>
      <c r="K17" s="7" t="s">
        <v>322</v>
      </c>
      <c r="L17" s="16" t="s">
        <v>538</v>
      </c>
      <c r="M17" s="7"/>
      <c r="N17" s="6" t="s">
        <v>555</v>
      </c>
    </row>
    <row r="18" customFormat="false" ht="39.75" hidden="false" customHeight="true" outlineLevel="0" collapsed="false">
      <c r="A18" s="6" t="s">
        <v>640</v>
      </c>
      <c r="B18" s="6" t="s">
        <v>165</v>
      </c>
      <c r="C18" s="6" t="s">
        <v>609</v>
      </c>
      <c r="D18" s="7" t="s">
        <v>423</v>
      </c>
      <c r="E18" s="7" t="s">
        <v>637</v>
      </c>
      <c r="F18" s="6" t="s">
        <v>410</v>
      </c>
      <c r="G18" s="7" t="s">
        <v>302</v>
      </c>
      <c r="H18" s="13" t="s">
        <v>613</v>
      </c>
      <c r="I18" s="7" t="s">
        <v>638</v>
      </c>
      <c r="J18" s="13" t="s">
        <v>613</v>
      </c>
      <c r="K18" s="7" t="s">
        <v>322</v>
      </c>
      <c r="L18" s="17" t="s">
        <v>641</v>
      </c>
      <c r="M18" s="7" t="s">
        <v>642</v>
      </c>
      <c r="N18" s="6" t="s">
        <v>555</v>
      </c>
    </row>
    <row r="19" customFormat="false" ht="39.75" hidden="false" customHeight="true" outlineLevel="0" collapsed="false">
      <c r="A19" s="6" t="s">
        <v>643</v>
      </c>
      <c r="B19" s="6" t="s">
        <v>170</v>
      </c>
      <c r="C19" s="6" t="s">
        <v>609</v>
      </c>
      <c r="D19" s="7" t="s">
        <v>423</v>
      </c>
      <c r="E19" s="7" t="s">
        <v>30</v>
      </c>
      <c r="F19" s="6" t="s">
        <v>232</v>
      </c>
      <c r="G19" s="7" t="s">
        <v>644</v>
      </c>
      <c r="H19" s="7" t="s">
        <v>645</v>
      </c>
      <c r="I19" s="13" t="s">
        <v>613</v>
      </c>
      <c r="J19" s="13" t="s">
        <v>613</v>
      </c>
      <c r="K19" s="7" t="s">
        <v>322</v>
      </c>
      <c r="L19" s="16" t="s">
        <v>538</v>
      </c>
      <c r="M19" s="7"/>
      <c r="N19" s="6" t="s">
        <v>560</v>
      </c>
    </row>
    <row r="20" customFormat="false" ht="39.75" hidden="false" customHeight="true" outlineLevel="0" collapsed="false">
      <c r="A20" s="6" t="s">
        <v>646</v>
      </c>
      <c r="B20" s="6" t="s">
        <v>170</v>
      </c>
      <c r="C20" s="6" t="s">
        <v>609</v>
      </c>
      <c r="D20" s="7" t="s">
        <v>647</v>
      </c>
      <c r="E20" s="7" t="s">
        <v>616</v>
      </c>
      <c r="F20" s="6" t="s">
        <v>232</v>
      </c>
      <c r="G20" s="7" t="s">
        <v>507</v>
      </c>
      <c r="H20" s="7" t="s">
        <v>648</v>
      </c>
      <c r="I20" s="13" t="s">
        <v>613</v>
      </c>
      <c r="J20" s="7" t="s">
        <v>618</v>
      </c>
      <c r="K20" s="7" t="s">
        <v>322</v>
      </c>
      <c r="L20" s="16" t="s">
        <v>538</v>
      </c>
      <c r="M20" s="7"/>
      <c r="N20" s="6" t="s">
        <v>560</v>
      </c>
    </row>
    <row r="21" customFormat="false" ht="39.75" hidden="false" customHeight="true" outlineLevel="0" collapsed="false">
      <c r="A21" s="6" t="s">
        <v>649</v>
      </c>
      <c r="B21" s="6" t="s">
        <v>175</v>
      </c>
      <c r="C21" s="6" t="s">
        <v>609</v>
      </c>
      <c r="D21" s="7" t="s">
        <v>25</v>
      </c>
      <c r="E21" s="7" t="s">
        <v>30</v>
      </c>
      <c r="F21" s="6" t="s">
        <v>410</v>
      </c>
      <c r="G21" s="7" t="s">
        <v>322</v>
      </c>
      <c r="H21" s="13" t="s">
        <v>613</v>
      </c>
      <c r="I21" s="13" t="s">
        <v>613</v>
      </c>
      <c r="J21" s="13" t="s">
        <v>613</v>
      </c>
      <c r="K21" s="7" t="s">
        <v>322</v>
      </c>
      <c r="L21" s="12" t="s">
        <v>613</v>
      </c>
      <c r="M21" s="7" t="s">
        <v>650</v>
      </c>
      <c r="N21" s="6" t="s">
        <v>566</v>
      </c>
    </row>
    <row r="22" customFormat="false" ht="39.75" hidden="false" customHeight="true" outlineLevel="0" collapsed="false">
      <c r="A22" s="6" t="s">
        <v>651</v>
      </c>
      <c r="B22" s="6" t="s">
        <v>175</v>
      </c>
      <c r="C22" s="6" t="s">
        <v>609</v>
      </c>
      <c r="D22" s="7" t="s">
        <v>25</v>
      </c>
      <c r="E22" s="7" t="s">
        <v>637</v>
      </c>
      <c r="F22" s="6" t="s">
        <v>410</v>
      </c>
      <c r="G22" s="7" t="s">
        <v>302</v>
      </c>
      <c r="H22" s="7" t="s">
        <v>638</v>
      </c>
      <c r="I22" s="13" t="s">
        <v>613</v>
      </c>
      <c r="J22" s="13" t="s">
        <v>613</v>
      </c>
      <c r="K22" s="7" t="s">
        <v>322</v>
      </c>
      <c r="L22" s="16" t="s">
        <v>538</v>
      </c>
      <c r="M22" s="7"/>
      <c r="N22" s="6" t="s">
        <v>566</v>
      </c>
    </row>
    <row r="23" customFormat="false" ht="39.75" hidden="false" customHeight="true" outlineLevel="0" collapsed="false">
      <c r="A23" s="6" t="s">
        <v>652</v>
      </c>
      <c r="B23" s="6" t="s">
        <v>175</v>
      </c>
      <c r="C23" s="6" t="s">
        <v>609</v>
      </c>
      <c r="D23" s="7" t="s">
        <v>350</v>
      </c>
      <c r="E23" s="7" t="s">
        <v>616</v>
      </c>
      <c r="F23" s="6" t="s">
        <v>410</v>
      </c>
      <c r="G23" s="7" t="s">
        <v>237</v>
      </c>
      <c r="H23" s="7" t="s">
        <v>653</v>
      </c>
      <c r="I23" s="13" t="s">
        <v>613</v>
      </c>
      <c r="J23" s="7" t="s">
        <v>618</v>
      </c>
      <c r="K23" s="7" t="s">
        <v>322</v>
      </c>
      <c r="L23" s="16" t="s">
        <v>538</v>
      </c>
      <c r="M23" s="7"/>
      <c r="N23" s="6" t="s">
        <v>566</v>
      </c>
    </row>
    <row r="24" customFormat="false" ht="39.75" hidden="false" customHeight="true" outlineLevel="0" collapsed="false">
      <c r="A24" s="6" t="s">
        <v>654</v>
      </c>
      <c r="B24" s="6" t="s">
        <v>175</v>
      </c>
      <c r="C24" s="6" t="s">
        <v>609</v>
      </c>
      <c r="D24" s="7" t="s">
        <v>423</v>
      </c>
      <c r="E24" s="7" t="s">
        <v>30</v>
      </c>
      <c r="F24" s="6" t="s">
        <v>410</v>
      </c>
      <c r="G24" s="7" t="s">
        <v>322</v>
      </c>
      <c r="H24" s="13" t="s">
        <v>613</v>
      </c>
      <c r="I24" s="13" t="s">
        <v>613</v>
      </c>
      <c r="J24" s="13" t="s">
        <v>613</v>
      </c>
      <c r="K24" s="7" t="s">
        <v>322</v>
      </c>
      <c r="L24" s="12" t="s">
        <v>613</v>
      </c>
      <c r="M24" s="7" t="s">
        <v>650</v>
      </c>
      <c r="N24" s="6" t="s">
        <v>566</v>
      </c>
    </row>
    <row r="25" customFormat="false" ht="39.75" hidden="false" customHeight="true" outlineLevel="0" collapsed="false">
      <c r="A25" s="6" t="s">
        <v>655</v>
      </c>
      <c r="B25" s="6" t="s">
        <v>175</v>
      </c>
      <c r="C25" s="6" t="s">
        <v>609</v>
      </c>
      <c r="D25" s="7" t="s">
        <v>423</v>
      </c>
      <c r="E25" s="7" t="s">
        <v>637</v>
      </c>
      <c r="F25" s="6" t="s">
        <v>410</v>
      </c>
      <c r="G25" s="7" t="s">
        <v>302</v>
      </c>
      <c r="H25" s="13" t="s">
        <v>613</v>
      </c>
      <c r="I25" s="7" t="s">
        <v>638</v>
      </c>
      <c r="J25" s="13" t="s">
        <v>613</v>
      </c>
      <c r="K25" s="7" t="s">
        <v>322</v>
      </c>
      <c r="L25" s="17" t="s">
        <v>641</v>
      </c>
      <c r="M25" s="7" t="s">
        <v>642</v>
      </c>
      <c r="N25" s="6" t="s">
        <v>566</v>
      </c>
    </row>
    <row r="26" customFormat="false" ht="39.75" hidden="false" customHeight="true" outlineLevel="0" collapsed="false">
      <c r="A26" s="6" t="s">
        <v>656</v>
      </c>
      <c r="B26" s="6" t="s">
        <v>175</v>
      </c>
      <c r="C26" s="6" t="s">
        <v>609</v>
      </c>
      <c r="D26" s="7" t="s">
        <v>647</v>
      </c>
      <c r="E26" s="7" t="s">
        <v>616</v>
      </c>
      <c r="F26" s="6" t="s">
        <v>410</v>
      </c>
      <c r="G26" s="7" t="s">
        <v>237</v>
      </c>
      <c r="H26" s="13" t="s">
        <v>613</v>
      </c>
      <c r="I26" s="7" t="s">
        <v>653</v>
      </c>
      <c r="J26" s="7" t="s">
        <v>618</v>
      </c>
      <c r="K26" s="7" t="s">
        <v>322</v>
      </c>
      <c r="L26" s="17" t="s">
        <v>641</v>
      </c>
      <c r="M26" s="7" t="s">
        <v>642</v>
      </c>
      <c r="N26" s="6" t="s">
        <v>566</v>
      </c>
    </row>
    <row r="27" customFormat="false" ht="39.75" hidden="false" customHeight="true" outlineLevel="0" collapsed="false">
      <c r="A27" s="6" t="s">
        <v>657</v>
      </c>
      <c r="B27" s="6" t="s">
        <v>187</v>
      </c>
      <c r="C27" s="6" t="s">
        <v>658</v>
      </c>
      <c r="D27" s="7" t="s">
        <v>659</v>
      </c>
      <c r="E27" s="7" t="s">
        <v>628</v>
      </c>
      <c r="F27" s="6" t="s">
        <v>232</v>
      </c>
      <c r="G27" s="7" t="s">
        <v>322</v>
      </c>
      <c r="H27" s="13" t="s">
        <v>613</v>
      </c>
      <c r="I27" s="13" t="s">
        <v>613</v>
      </c>
      <c r="J27" s="13" t="s">
        <v>613</v>
      </c>
      <c r="K27" s="7" t="s">
        <v>322</v>
      </c>
      <c r="L27" s="12" t="s">
        <v>613</v>
      </c>
      <c r="M27" s="7" t="s">
        <v>650</v>
      </c>
      <c r="N27" s="6" t="s">
        <v>573</v>
      </c>
    </row>
    <row r="28" customFormat="false" ht="39.75" hidden="false" customHeight="true" outlineLevel="0" collapsed="false">
      <c r="A28" s="6" t="s">
        <v>660</v>
      </c>
      <c r="B28" s="6" t="s">
        <v>187</v>
      </c>
      <c r="C28" s="6" t="s">
        <v>658</v>
      </c>
      <c r="D28" s="7" t="s">
        <v>659</v>
      </c>
      <c r="E28" s="7" t="s">
        <v>611</v>
      </c>
      <c r="F28" s="6" t="s">
        <v>232</v>
      </c>
      <c r="G28" s="7" t="s">
        <v>302</v>
      </c>
      <c r="H28" s="7" t="s">
        <v>661</v>
      </c>
      <c r="I28" s="13" t="s">
        <v>613</v>
      </c>
      <c r="J28" s="13" t="s">
        <v>613</v>
      </c>
      <c r="K28" s="7" t="s">
        <v>322</v>
      </c>
      <c r="L28" s="16" t="s">
        <v>538</v>
      </c>
      <c r="M28" s="7"/>
      <c r="N28" s="6" t="s">
        <v>573</v>
      </c>
    </row>
    <row r="29" customFormat="false" ht="39.75" hidden="false" customHeight="true" outlineLevel="0" collapsed="false">
      <c r="A29" s="6" t="s">
        <v>662</v>
      </c>
      <c r="B29" s="6" t="s">
        <v>187</v>
      </c>
      <c r="C29" s="6" t="s">
        <v>658</v>
      </c>
      <c r="D29" s="7" t="s">
        <v>659</v>
      </c>
      <c r="E29" s="7" t="s">
        <v>30</v>
      </c>
      <c r="F29" s="6" t="s">
        <v>232</v>
      </c>
      <c r="G29" s="7" t="s">
        <v>302</v>
      </c>
      <c r="H29" s="7" t="s">
        <v>661</v>
      </c>
      <c r="I29" s="13" t="s">
        <v>613</v>
      </c>
      <c r="J29" s="13" t="s">
        <v>613</v>
      </c>
      <c r="K29" s="7" t="s">
        <v>322</v>
      </c>
      <c r="L29" s="16" t="s">
        <v>538</v>
      </c>
      <c r="M29" s="7"/>
      <c r="N29" s="6" t="s">
        <v>573</v>
      </c>
    </row>
    <row r="30" customFormat="false" ht="39.75" hidden="false" customHeight="true" outlineLevel="0" collapsed="false">
      <c r="A30" s="6" t="s">
        <v>663</v>
      </c>
      <c r="B30" s="6" t="s">
        <v>187</v>
      </c>
      <c r="C30" s="6" t="s">
        <v>658</v>
      </c>
      <c r="D30" s="7" t="s">
        <v>664</v>
      </c>
      <c r="E30" s="7" t="s">
        <v>665</v>
      </c>
      <c r="F30" s="6" t="s">
        <v>232</v>
      </c>
      <c r="G30" s="7" t="s">
        <v>278</v>
      </c>
      <c r="H30" s="7" t="s">
        <v>666</v>
      </c>
      <c r="I30" s="13" t="s">
        <v>613</v>
      </c>
      <c r="J30" s="13" t="s">
        <v>613</v>
      </c>
      <c r="K30" s="7" t="s">
        <v>322</v>
      </c>
      <c r="L30" s="16" t="s">
        <v>538</v>
      </c>
      <c r="M30" s="7"/>
      <c r="N30" s="6" t="s">
        <v>573</v>
      </c>
    </row>
    <row r="31" customFormat="false" ht="39.75" hidden="false" customHeight="true" outlineLevel="0" collapsed="false">
      <c r="A31" s="6" t="s">
        <v>667</v>
      </c>
      <c r="B31" s="6" t="s">
        <v>187</v>
      </c>
      <c r="C31" s="6" t="s">
        <v>658</v>
      </c>
      <c r="D31" s="7" t="s">
        <v>664</v>
      </c>
      <c r="E31" s="7" t="s">
        <v>665</v>
      </c>
      <c r="F31" s="6" t="s">
        <v>410</v>
      </c>
      <c r="G31" s="7" t="s">
        <v>278</v>
      </c>
      <c r="H31" s="7" t="s">
        <v>666</v>
      </c>
      <c r="I31" s="13" t="s">
        <v>613</v>
      </c>
      <c r="J31" s="13" t="s">
        <v>613</v>
      </c>
      <c r="K31" s="7" t="s">
        <v>322</v>
      </c>
      <c r="L31" s="16" t="s">
        <v>538</v>
      </c>
      <c r="M31" s="7"/>
      <c r="N31" s="6" t="s">
        <v>573</v>
      </c>
    </row>
    <row r="32" customFormat="false" ht="39.75" hidden="false" customHeight="true" outlineLevel="0" collapsed="false">
      <c r="A32" s="6" t="s">
        <v>668</v>
      </c>
      <c r="B32" s="6" t="s">
        <v>187</v>
      </c>
      <c r="C32" s="6" t="s">
        <v>658</v>
      </c>
      <c r="D32" s="7" t="s">
        <v>669</v>
      </c>
      <c r="E32" s="7" t="s">
        <v>665</v>
      </c>
      <c r="F32" s="6" t="s">
        <v>232</v>
      </c>
      <c r="G32" s="7" t="s">
        <v>278</v>
      </c>
      <c r="H32" s="7" t="s">
        <v>666</v>
      </c>
      <c r="I32" s="13" t="s">
        <v>613</v>
      </c>
      <c r="J32" s="13" t="s">
        <v>613</v>
      </c>
      <c r="K32" s="7" t="s">
        <v>322</v>
      </c>
      <c r="L32" s="16" t="s">
        <v>538</v>
      </c>
      <c r="M32" s="7"/>
      <c r="N32" s="6" t="s">
        <v>573</v>
      </c>
    </row>
    <row r="33" customFormat="false" ht="39.75" hidden="false" customHeight="true" outlineLevel="0" collapsed="false">
      <c r="A33" s="6" t="s">
        <v>670</v>
      </c>
      <c r="B33" s="6" t="s">
        <v>187</v>
      </c>
      <c r="C33" s="6" t="s">
        <v>658</v>
      </c>
      <c r="D33" s="7" t="s">
        <v>669</v>
      </c>
      <c r="E33" s="7" t="s">
        <v>665</v>
      </c>
      <c r="F33" s="6" t="s">
        <v>410</v>
      </c>
      <c r="G33" s="7" t="s">
        <v>278</v>
      </c>
      <c r="H33" s="7" t="s">
        <v>666</v>
      </c>
      <c r="I33" s="13" t="s">
        <v>613</v>
      </c>
      <c r="J33" s="13" t="s">
        <v>613</v>
      </c>
      <c r="K33" s="7" t="s">
        <v>322</v>
      </c>
      <c r="L33" s="16" t="s">
        <v>538</v>
      </c>
      <c r="M33" s="7"/>
      <c r="N33" s="6" t="s">
        <v>573</v>
      </c>
    </row>
    <row r="34" customFormat="false" ht="39.75" hidden="false" customHeight="true" outlineLevel="0" collapsed="false">
      <c r="A34" s="6" t="s">
        <v>671</v>
      </c>
      <c r="B34" s="6" t="s">
        <v>193</v>
      </c>
      <c r="C34" s="6" t="s">
        <v>658</v>
      </c>
      <c r="D34" s="7" t="s">
        <v>376</v>
      </c>
      <c r="E34" s="7" t="s">
        <v>665</v>
      </c>
      <c r="F34" s="6" t="s">
        <v>232</v>
      </c>
      <c r="G34" s="7" t="s">
        <v>237</v>
      </c>
      <c r="H34" s="13" t="s">
        <v>613</v>
      </c>
      <c r="I34" s="7" t="s">
        <v>672</v>
      </c>
      <c r="J34" s="13" t="s">
        <v>613</v>
      </c>
      <c r="K34" s="7" t="s">
        <v>322</v>
      </c>
      <c r="L34" s="17" t="s">
        <v>641</v>
      </c>
      <c r="M34" s="7" t="s">
        <v>642</v>
      </c>
      <c r="N34" s="6" t="s">
        <v>580</v>
      </c>
    </row>
    <row r="35" customFormat="false" ht="39.75" hidden="false" customHeight="true" outlineLevel="0" collapsed="false">
      <c r="A35" s="6" t="s">
        <v>673</v>
      </c>
      <c r="B35" s="6" t="s">
        <v>193</v>
      </c>
      <c r="C35" s="6" t="s">
        <v>658</v>
      </c>
      <c r="D35" s="7" t="s">
        <v>376</v>
      </c>
      <c r="E35" s="7" t="s">
        <v>665</v>
      </c>
      <c r="F35" s="6" t="s">
        <v>410</v>
      </c>
      <c r="G35" s="7" t="s">
        <v>237</v>
      </c>
      <c r="H35" s="13" t="s">
        <v>613</v>
      </c>
      <c r="I35" s="7" t="s">
        <v>672</v>
      </c>
      <c r="J35" s="13" t="s">
        <v>613</v>
      </c>
      <c r="K35" s="7" t="s">
        <v>322</v>
      </c>
      <c r="L35" s="17" t="s">
        <v>641</v>
      </c>
      <c r="M35" s="7" t="s">
        <v>642</v>
      </c>
      <c r="N35" s="6" t="s">
        <v>580</v>
      </c>
    </row>
    <row r="36" customFormat="false" ht="39.75" hidden="false" customHeight="true" outlineLevel="0" collapsed="false">
      <c r="A36" s="6" t="s">
        <v>674</v>
      </c>
      <c r="B36" s="6" t="s">
        <v>193</v>
      </c>
      <c r="C36" s="6" t="s">
        <v>658</v>
      </c>
      <c r="D36" s="7" t="s">
        <v>376</v>
      </c>
      <c r="E36" s="7" t="s">
        <v>675</v>
      </c>
      <c r="F36" s="6" t="s">
        <v>232</v>
      </c>
      <c r="G36" s="7" t="s">
        <v>428</v>
      </c>
      <c r="H36" s="7" t="s">
        <v>676</v>
      </c>
      <c r="I36" s="7" t="s">
        <v>677</v>
      </c>
      <c r="J36" s="13" t="s">
        <v>613</v>
      </c>
      <c r="K36" s="7" t="s">
        <v>678</v>
      </c>
      <c r="L36" s="16" t="s">
        <v>538</v>
      </c>
      <c r="M36" s="7"/>
      <c r="N36" s="6" t="s">
        <v>580</v>
      </c>
    </row>
    <row r="37" customFormat="false" ht="39.75" hidden="false" customHeight="true" outlineLevel="0" collapsed="false">
      <c r="A37" s="6" t="s">
        <v>679</v>
      </c>
      <c r="B37" s="6" t="s">
        <v>193</v>
      </c>
      <c r="C37" s="6" t="s">
        <v>658</v>
      </c>
      <c r="D37" s="7" t="s">
        <v>376</v>
      </c>
      <c r="E37" s="7" t="s">
        <v>675</v>
      </c>
      <c r="F37" s="6" t="s">
        <v>410</v>
      </c>
      <c r="G37" s="7" t="s">
        <v>428</v>
      </c>
      <c r="H37" s="7" t="s">
        <v>676</v>
      </c>
      <c r="I37" s="13" t="s">
        <v>613</v>
      </c>
      <c r="J37" s="13" t="s">
        <v>613</v>
      </c>
      <c r="K37" s="7" t="s">
        <v>322</v>
      </c>
      <c r="L37" s="16" t="s">
        <v>538</v>
      </c>
      <c r="M37" s="7"/>
      <c r="N37" s="6" t="s">
        <v>580</v>
      </c>
    </row>
    <row r="38" customFormat="false" ht="39.75" hidden="false" customHeight="true" outlineLevel="0" collapsed="false">
      <c r="A38" s="6" t="s">
        <v>680</v>
      </c>
      <c r="B38" s="6" t="s">
        <v>193</v>
      </c>
      <c r="C38" s="6" t="s">
        <v>658</v>
      </c>
      <c r="D38" s="7" t="s">
        <v>326</v>
      </c>
      <c r="E38" s="7" t="s">
        <v>675</v>
      </c>
      <c r="F38" s="6" t="s">
        <v>232</v>
      </c>
      <c r="G38" s="7" t="s">
        <v>316</v>
      </c>
      <c r="H38" s="7" t="s">
        <v>677</v>
      </c>
      <c r="I38" s="7" t="s">
        <v>676</v>
      </c>
      <c r="J38" s="7" t="s">
        <v>681</v>
      </c>
      <c r="K38" s="7" t="s">
        <v>116</v>
      </c>
      <c r="L38" s="16" t="s">
        <v>538</v>
      </c>
      <c r="M38" s="7"/>
      <c r="N38" s="6" t="s">
        <v>580</v>
      </c>
    </row>
    <row r="39" customFormat="false" ht="39.75" hidden="false" customHeight="true" outlineLevel="0" collapsed="false">
      <c r="A39" s="6" t="s">
        <v>682</v>
      </c>
      <c r="B39" s="6" t="s">
        <v>193</v>
      </c>
      <c r="C39" s="6" t="s">
        <v>658</v>
      </c>
      <c r="D39" s="7" t="s">
        <v>326</v>
      </c>
      <c r="E39" s="7" t="s">
        <v>675</v>
      </c>
      <c r="F39" s="6" t="s">
        <v>410</v>
      </c>
      <c r="G39" s="7" t="s">
        <v>428</v>
      </c>
      <c r="H39" s="13" t="s">
        <v>613</v>
      </c>
      <c r="I39" s="7" t="s">
        <v>676</v>
      </c>
      <c r="J39" s="13" t="s">
        <v>613</v>
      </c>
      <c r="K39" s="7" t="s">
        <v>322</v>
      </c>
      <c r="L39" s="17" t="s">
        <v>641</v>
      </c>
      <c r="M39" s="7" t="s">
        <v>642</v>
      </c>
      <c r="N39" s="6" t="s">
        <v>580</v>
      </c>
    </row>
    <row r="40" customFormat="false" ht="39.75" hidden="false" customHeight="true" outlineLevel="0" collapsed="false">
      <c r="A40" s="6" t="s">
        <v>683</v>
      </c>
      <c r="B40" s="6" t="s">
        <v>193</v>
      </c>
      <c r="C40" s="6" t="s">
        <v>658</v>
      </c>
      <c r="D40" s="7" t="s">
        <v>664</v>
      </c>
      <c r="E40" s="7" t="s">
        <v>665</v>
      </c>
      <c r="F40" s="6" t="s">
        <v>232</v>
      </c>
      <c r="G40" s="7" t="s">
        <v>237</v>
      </c>
      <c r="H40" s="7" t="s">
        <v>672</v>
      </c>
      <c r="I40" s="13" t="s">
        <v>613</v>
      </c>
      <c r="J40" s="13" t="s">
        <v>613</v>
      </c>
      <c r="K40" s="7" t="s">
        <v>322</v>
      </c>
      <c r="L40" s="16" t="s">
        <v>538</v>
      </c>
      <c r="M40" s="7"/>
      <c r="N40" s="6" t="s">
        <v>580</v>
      </c>
    </row>
    <row r="41" customFormat="false" ht="39.75" hidden="false" customHeight="true" outlineLevel="0" collapsed="false">
      <c r="A41" s="6" t="s">
        <v>684</v>
      </c>
      <c r="B41" s="6" t="s">
        <v>193</v>
      </c>
      <c r="C41" s="6" t="s">
        <v>658</v>
      </c>
      <c r="D41" s="7" t="s">
        <v>664</v>
      </c>
      <c r="E41" s="7" t="s">
        <v>665</v>
      </c>
      <c r="F41" s="6" t="s">
        <v>410</v>
      </c>
      <c r="G41" s="7" t="s">
        <v>237</v>
      </c>
      <c r="H41" s="7" t="s">
        <v>672</v>
      </c>
      <c r="I41" s="13" t="s">
        <v>613</v>
      </c>
      <c r="J41" s="13" t="s">
        <v>613</v>
      </c>
      <c r="K41" s="7" t="s">
        <v>322</v>
      </c>
      <c r="L41" s="16" t="s">
        <v>538</v>
      </c>
      <c r="M41" s="7"/>
      <c r="N41" s="6" t="s">
        <v>580</v>
      </c>
    </row>
    <row r="42" customFormat="false" ht="39.75" hidden="false" customHeight="true" outlineLevel="0" collapsed="false">
      <c r="A42" s="6" t="s">
        <v>685</v>
      </c>
      <c r="B42" s="6" t="s">
        <v>193</v>
      </c>
      <c r="C42" s="6" t="s">
        <v>658</v>
      </c>
      <c r="D42" s="7" t="s">
        <v>669</v>
      </c>
      <c r="E42" s="7" t="s">
        <v>665</v>
      </c>
      <c r="F42" s="6" t="s">
        <v>232</v>
      </c>
      <c r="G42" s="7" t="s">
        <v>237</v>
      </c>
      <c r="H42" s="7" t="s">
        <v>672</v>
      </c>
      <c r="I42" s="13" t="s">
        <v>613</v>
      </c>
      <c r="J42" s="13" t="s">
        <v>613</v>
      </c>
      <c r="K42" s="7" t="s">
        <v>322</v>
      </c>
      <c r="L42" s="16" t="s">
        <v>538</v>
      </c>
      <c r="M42" s="7"/>
      <c r="N42" s="6" t="s">
        <v>580</v>
      </c>
    </row>
    <row r="43" customFormat="false" ht="39.75" hidden="false" customHeight="true" outlineLevel="0" collapsed="false">
      <c r="A43" s="6" t="s">
        <v>686</v>
      </c>
      <c r="B43" s="6" t="s">
        <v>193</v>
      </c>
      <c r="C43" s="6" t="s">
        <v>658</v>
      </c>
      <c r="D43" s="7" t="s">
        <v>669</v>
      </c>
      <c r="E43" s="7" t="s">
        <v>665</v>
      </c>
      <c r="F43" s="6" t="s">
        <v>410</v>
      </c>
      <c r="G43" s="7" t="s">
        <v>237</v>
      </c>
      <c r="H43" s="7" t="s">
        <v>672</v>
      </c>
      <c r="I43" s="13" t="s">
        <v>613</v>
      </c>
      <c r="J43" s="13" t="s">
        <v>613</v>
      </c>
      <c r="K43" s="7" t="s">
        <v>322</v>
      </c>
      <c r="L43" s="16" t="s">
        <v>538</v>
      </c>
      <c r="M43" s="7"/>
      <c r="N43" s="6" t="s">
        <v>580</v>
      </c>
    </row>
    <row r="44" customFormat="false" ht="39.75" hidden="false" customHeight="true" outlineLevel="0" collapsed="false">
      <c r="A44" s="6" t="s">
        <v>687</v>
      </c>
      <c r="B44" s="6" t="s">
        <v>181</v>
      </c>
      <c r="C44" s="6" t="s">
        <v>658</v>
      </c>
      <c r="D44" s="7" t="s">
        <v>688</v>
      </c>
      <c r="E44" s="7" t="s">
        <v>675</v>
      </c>
      <c r="F44" s="6" t="s">
        <v>232</v>
      </c>
      <c r="G44" s="7" t="s">
        <v>428</v>
      </c>
      <c r="H44" s="7" t="s">
        <v>689</v>
      </c>
      <c r="I44" s="7" t="s">
        <v>690</v>
      </c>
      <c r="J44" s="7" t="s">
        <v>681</v>
      </c>
      <c r="K44" s="7" t="s">
        <v>678</v>
      </c>
      <c r="L44" s="16" t="s">
        <v>538</v>
      </c>
      <c r="M44" s="7"/>
      <c r="N44" s="6" t="s">
        <v>587</v>
      </c>
    </row>
    <row r="45" customFormat="false" ht="39.75" hidden="false" customHeight="true" outlineLevel="0" collapsed="false">
      <c r="A45" s="6" t="s">
        <v>691</v>
      </c>
      <c r="B45" s="6" t="s">
        <v>181</v>
      </c>
      <c r="C45" s="6" t="s">
        <v>658</v>
      </c>
      <c r="D45" s="7" t="s">
        <v>688</v>
      </c>
      <c r="E45" s="7" t="s">
        <v>675</v>
      </c>
      <c r="F45" s="6" t="s">
        <v>410</v>
      </c>
      <c r="G45" s="7" t="s">
        <v>692</v>
      </c>
      <c r="H45" s="13" t="s">
        <v>613</v>
      </c>
      <c r="I45" s="7" t="s">
        <v>693</v>
      </c>
      <c r="J45" s="13" t="s">
        <v>613</v>
      </c>
      <c r="K45" s="7" t="s">
        <v>322</v>
      </c>
      <c r="L45" s="17" t="s">
        <v>641</v>
      </c>
      <c r="M45" s="7" t="s">
        <v>642</v>
      </c>
      <c r="N45" s="6" t="s">
        <v>587</v>
      </c>
    </row>
    <row r="46" customFormat="false" ht="39.75" hidden="false" customHeight="true" outlineLevel="0" collapsed="false">
      <c r="A46" s="6" t="s">
        <v>694</v>
      </c>
      <c r="B46" s="6" t="s">
        <v>181</v>
      </c>
      <c r="C46" s="6" t="s">
        <v>658</v>
      </c>
      <c r="D46" s="7" t="s">
        <v>376</v>
      </c>
      <c r="E46" s="7" t="s">
        <v>675</v>
      </c>
      <c r="F46" s="6" t="s">
        <v>232</v>
      </c>
      <c r="G46" s="7" t="s">
        <v>692</v>
      </c>
      <c r="H46" s="7" t="s">
        <v>693</v>
      </c>
      <c r="I46" s="7" t="s">
        <v>695</v>
      </c>
      <c r="J46" s="13" t="s">
        <v>613</v>
      </c>
      <c r="K46" s="7" t="s">
        <v>678</v>
      </c>
      <c r="L46" s="16" t="s">
        <v>538</v>
      </c>
      <c r="M46" s="7"/>
      <c r="N46" s="6" t="s">
        <v>587</v>
      </c>
    </row>
    <row r="47" customFormat="false" ht="39.75" hidden="false" customHeight="true" outlineLevel="0" collapsed="false">
      <c r="A47" s="6" t="s">
        <v>696</v>
      </c>
      <c r="B47" s="6" t="s">
        <v>181</v>
      </c>
      <c r="C47" s="6" t="s">
        <v>658</v>
      </c>
      <c r="D47" s="7" t="s">
        <v>376</v>
      </c>
      <c r="E47" s="7" t="s">
        <v>675</v>
      </c>
      <c r="F47" s="6" t="s">
        <v>410</v>
      </c>
      <c r="G47" s="7" t="s">
        <v>692</v>
      </c>
      <c r="H47" s="7" t="s">
        <v>693</v>
      </c>
      <c r="I47" s="13" t="s">
        <v>613</v>
      </c>
      <c r="J47" s="13" t="s">
        <v>613</v>
      </c>
      <c r="K47" s="7" t="s">
        <v>322</v>
      </c>
      <c r="L47" s="16" t="s">
        <v>538</v>
      </c>
      <c r="M47" s="7"/>
      <c r="N47" s="6" t="s">
        <v>587</v>
      </c>
    </row>
    <row r="48" customFormat="false" ht="39.75" hidden="false" customHeight="true" outlineLevel="0" collapsed="false">
      <c r="A48" s="6" t="s">
        <v>697</v>
      </c>
      <c r="B48" s="6" t="s">
        <v>181</v>
      </c>
      <c r="C48" s="6" t="s">
        <v>658</v>
      </c>
      <c r="D48" s="7" t="s">
        <v>326</v>
      </c>
      <c r="E48" s="7" t="s">
        <v>675</v>
      </c>
      <c r="F48" s="6" t="s">
        <v>232</v>
      </c>
      <c r="G48" s="7" t="s">
        <v>698</v>
      </c>
      <c r="H48" s="7" t="s">
        <v>695</v>
      </c>
      <c r="I48" s="7" t="s">
        <v>693</v>
      </c>
      <c r="J48" s="7" t="s">
        <v>681</v>
      </c>
      <c r="K48" s="7" t="s">
        <v>116</v>
      </c>
      <c r="L48" s="16" t="s">
        <v>538</v>
      </c>
      <c r="M48" s="7"/>
      <c r="N48" s="6" t="s">
        <v>587</v>
      </c>
    </row>
    <row r="49" customFormat="false" ht="39.75" hidden="false" customHeight="true" outlineLevel="0" collapsed="false">
      <c r="A49" s="6" t="s">
        <v>699</v>
      </c>
      <c r="B49" s="6" t="s">
        <v>181</v>
      </c>
      <c r="C49" s="6" t="s">
        <v>658</v>
      </c>
      <c r="D49" s="7" t="s">
        <v>326</v>
      </c>
      <c r="E49" s="7" t="s">
        <v>675</v>
      </c>
      <c r="F49" s="6" t="s">
        <v>410</v>
      </c>
      <c r="G49" s="7" t="s">
        <v>692</v>
      </c>
      <c r="H49" s="13" t="s">
        <v>613</v>
      </c>
      <c r="I49" s="7" t="s">
        <v>693</v>
      </c>
      <c r="J49" s="13" t="s">
        <v>613</v>
      </c>
      <c r="K49" s="7" t="s">
        <v>322</v>
      </c>
      <c r="L49" s="17" t="s">
        <v>641</v>
      </c>
      <c r="M49" s="7" t="s">
        <v>642</v>
      </c>
      <c r="N49" s="6" t="s">
        <v>587</v>
      </c>
    </row>
    <row r="50" customFormat="false" ht="39.75" hidden="false" customHeight="true" outlineLevel="0" collapsed="false">
      <c r="A50" s="6" t="s">
        <v>700</v>
      </c>
      <c r="B50" s="6" t="s">
        <v>181</v>
      </c>
      <c r="C50" s="6" t="s">
        <v>658</v>
      </c>
      <c r="D50" s="7" t="s">
        <v>701</v>
      </c>
      <c r="E50" s="7" t="s">
        <v>675</v>
      </c>
      <c r="F50" s="6" t="s">
        <v>232</v>
      </c>
      <c r="G50" s="7" t="s">
        <v>428</v>
      </c>
      <c r="H50" s="7" t="s">
        <v>676</v>
      </c>
      <c r="I50" s="7" t="s">
        <v>702</v>
      </c>
      <c r="J50" s="7" t="s">
        <v>681</v>
      </c>
      <c r="K50" s="7" t="s">
        <v>322</v>
      </c>
      <c r="L50" s="16" t="s">
        <v>538</v>
      </c>
      <c r="M50" s="7"/>
      <c r="N50" s="6" t="s">
        <v>587</v>
      </c>
    </row>
    <row r="51" customFormat="false" ht="39.75" hidden="false" customHeight="true" outlineLevel="0" collapsed="false">
      <c r="A51" s="6" t="s">
        <v>703</v>
      </c>
      <c r="B51" s="6" t="s">
        <v>181</v>
      </c>
      <c r="C51" s="6" t="s">
        <v>658</v>
      </c>
      <c r="D51" s="7" t="s">
        <v>701</v>
      </c>
      <c r="E51" s="7" t="s">
        <v>675</v>
      </c>
      <c r="F51" s="6" t="s">
        <v>410</v>
      </c>
      <c r="G51" s="7" t="s">
        <v>428</v>
      </c>
      <c r="H51" s="7" t="s">
        <v>676</v>
      </c>
      <c r="I51" s="7" t="s">
        <v>704</v>
      </c>
      <c r="J51" s="13" t="s">
        <v>613</v>
      </c>
      <c r="K51" s="7" t="s">
        <v>322</v>
      </c>
      <c r="L51" s="16" t="s">
        <v>538</v>
      </c>
      <c r="M51" s="7"/>
      <c r="N51" s="6" t="s">
        <v>587</v>
      </c>
    </row>
    <row r="52" customFormat="false" ht="39.75" hidden="false" customHeight="true" outlineLevel="0" collapsed="false">
      <c r="A52" s="6" t="s">
        <v>705</v>
      </c>
      <c r="B52" s="6" t="s">
        <v>206</v>
      </c>
      <c r="C52" s="6" t="s">
        <v>658</v>
      </c>
      <c r="D52" s="7" t="s">
        <v>688</v>
      </c>
      <c r="E52" s="7" t="s">
        <v>675</v>
      </c>
      <c r="F52" s="6" t="s">
        <v>410</v>
      </c>
      <c r="G52" s="7" t="s">
        <v>278</v>
      </c>
      <c r="H52" s="7" t="s">
        <v>706</v>
      </c>
      <c r="I52" s="13" t="s">
        <v>613</v>
      </c>
      <c r="J52" s="13" t="s">
        <v>613</v>
      </c>
      <c r="K52" s="7" t="s">
        <v>322</v>
      </c>
      <c r="L52" s="16" t="s">
        <v>538</v>
      </c>
      <c r="M52" s="7"/>
      <c r="N52" s="6" t="s">
        <v>592</v>
      </c>
    </row>
    <row r="53" customFormat="false" ht="39.75" hidden="false" customHeight="true" outlineLevel="0" collapsed="false">
      <c r="A53" s="6" t="s">
        <v>707</v>
      </c>
      <c r="B53" s="6" t="s">
        <v>206</v>
      </c>
      <c r="C53" s="6" t="s">
        <v>658</v>
      </c>
      <c r="D53" s="7" t="s">
        <v>701</v>
      </c>
      <c r="E53" s="7" t="s">
        <v>675</v>
      </c>
      <c r="F53" s="6" t="s">
        <v>410</v>
      </c>
      <c r="G53" s="7" t="s">
        <v>278</v>
      </c>
      <c r="H53" s="7" t="s">
        <v>706</v>
      </c>
      <c r="I53" s="13" t="s">
        <v>613</v>
      </c>
      <c r="J53" s="13" t="s">
        <v>613</v>
      </c>
      <c r="K53" s="7" t="s">
        <v>322</v>
      </c>
      <c r="L53" s="16" t="s">
        <v>538</v>
      </c>
      <c r="M53" s="7"/>
      <c r="N53" s="6" t="s">
        <v>592</v>
      </c>
    </row>
    <row r="54" customFormat="false" ht="39.75" hidden="false" customHeight="true" outlineLevel="0" collapsed="false">
      <c r="A54" s="6" t="s">
        <v>708</v>
      </c>
      <c r="B54" s="6" t="s">
        <v>206</v>
      </c>
      <c r="C54" s="6" t="s">
        <v>658</v>
      </c>
      <c r="D54" s="7" t="s">
        <v>709</v>
      </c>
      <c r="E54" s="7" t="s">
        <v>675</v>
      </c>
      <c r="F54" s="6" t="s">
        <v>410</v>
      </c>
      <c r="G54" s="7" t="s">
        <v>278</v>
      </c>
      <c r="H54" s="7" t="s">
        <v>706</v>
      </c>
      <c r="I54" s="13" t="s">
        <v>613</v>
      </c>
      <c r="J54" s="13" t="s">
        <v>613</v>
      </c>
      <c r="K54" s="7" t="s">
        <v>322</v>
      </c>
      <c r="L54" s="16" t="s">
        <v>538</v>
      </c>
      <c r="M54" s="7"/>
      <c r="N54" s="6" t="s">
        <v>592</v>
      </c>
    </row>
    <row r="55" customFormat="false" ht="39.75" hidden="false" customHeight="true" outlineLevel="0" collapsed="false">
      <c r="A55" s="6" t="s">
        <v>710</v>
      </c>
      <c r="B55" s="6" t="s">
        <v>441</v>
      </c>
      <c r="C55" s="6" t="s">
        <v>711</v>
      </c>
      <c r="D55" s="7" t="s">
        <v>712</v>
      </c>
      <c r="E55" s="7" t="s">
        <v>713</v>
      </c>
      <c r="F55" s="6" t="s">
        <v>232</v>
      </c>
      <c r="G55" s="7" t="s">
        <v>428</v>
      </c>
      <c r="H55" s="7" t="s">
        <v>714</v>
      </c>
      <c r="I55" s="7" t="s">
        <v>715</v>
      </c>
      <c r="J55" s="7" t="s">
        <v>681</v>
      </c>
      <c r="K55" s="7" t="s">
        <v>322</v>
      </c>
      <c r="L55" s="16" t="s">
        <v>538</v>
      </c>
      <c r="M55" s="7"/>
      <c r="N55" s="6" t="s">
        <v>598</v>
      </c>
    </row>
    <row r="56" customFormat="false" ht="39.75" hidden="false" customHeight="true" outlineLevel="0" collapsed="false">
      <c r="A56" s="6" t="s">
        <v>716</v>
      </c>
      <c r="B56" s="6" t="s">
        <v>441</v>
      </c>
      <c r="C56" s="6" t="s">
        <v>711</v>
      </c>
      <c r="D56" s="7" t="s">
        <v>712</v>
      </c>
      <c r="E56" s="7" t="s">
        <v>713</v>
      </c>
      <c r="F56" s="6" t="s">
        <v>410</v>
      </c>
      <c r="G56" s="7" t="s">
        <v>237</v>
      </c>
      <c r="H56" s="13" t="s">
        <v>613</v>
      </c>
      <c r="I56" s="7" t="s">
        <v>715</v>
      </c>
      <c r="J56" s="13" t="s">
        <v>613</v>
      </c>
      <c r="K56" s="7" t="s">
        <v>322</v>
      </c>
      <c r="L56" s="17" t="s">
        <v>641</v>
      </c>
      <c r="M56" s="7" t="s">
        <v>642</v>
      </c>
      <c r="N56" s="6" t="s">
        <v>598</v>
      </c>
    </row>
    <row r="57" customFormat="false" ht="39.75" hidden="false" customHeight="true" outlineLevel="0" collapsed="false">
      <c r="A57" s="6" t="s">
        <v>717</v>
      </c>
      <c r="B57" s="6" t="s">
        <v>441</v>
      </c>
      <c r="C57" s="6" t="s">
        <v>711</v>
      </c>
      <c r="D57" s="7" t="s">
        <v>718</v>
      </c>
      <c r="E57" s="7" t="s">
        <v>713</v>
      </c>
      <c r="F57" s="6" t="s">
        <v>232</v>
      </c>
      <c r="G57" s="7" t="s">
        <v>428</v>
      </c>
      <c r="H57" s="7" t="s">
        <v>714</v>
      </c>
      <c r="I57" s="7" t="s">
        <v>715</v>
      </c>
      <c r="J57" s="7" t="s">
        <v>681</v>
      </c>
      <c r="K57" s="7" t="s">
        <v>322</v>
      </c>
      <c r="L57" s="16" t="s">
        <v>538</v>
      </c>
      <c r="M57" s="7"/>
      <c r="N57" s="6" t="s">
        <v>598</v>
      </c>
    </row>
    <row r="58" customFormat="false" ht="39.75" hidden="false" customHeight="true" outlineLevel="0" collapsed="false">
      <c r="A58" s="6" t="s">
        <v>719</v>
      </c>
      <c r="B58" s="6" t="s">
        <v>441</v>
      </c>
      <c r="C58" s="6" t="s">
        <v>711</v>
      </c>
      <c r="D58" s="7" t="s">
        <v>718</v>
      </c>
      <c r="E58" s="7" t="s">
        <v>713</v>
      </c>
      <c r="F58" s="6" t="s">
        <v>410</v>
      </c>
      <c r="G58" s="7" t="s">
        <v>237</v>
      </c>
      <c r="H58" s="13" t="s">
        <v>613</v>
      </c>
      <c r="I58" s="7" t="s">
        <v>715</v>
      </c>
      <c r="J58" s="13" t="s">
        <v>613</v>
      </c>
      <c r="K58" s="7" t="s">
        <v>322</v>
      </c>
      <c r="L58" s="17" t="s">
        <v>641</v>
      </c>
      <c r="M58" s="7" t="s">
        <v>642</v>
      </c>
      <c r="N58" s="6" t="s">
        <v>598</v>
      </c>
    </row>
    <row r="60" customFormat="false" ht="15" hidden="false" customHeight="false" outlineLevel="0" collapsed="false">
      <c r="A60" s="18" t="s">
        <v>720</v>
      </c>
      <c r="B60" s="18" t="n">
        <f aca="false">COUNTA(A5:A58)</f>
        <v>54</v>
      </c>
      <c r="D60" s="19" t="s">
        <v>538</v>
      </c>
      <c r="E60" s="19" t="n">
        <f aca="false">COUNTIF(L5:L58,"มีเครื่องมือหลัก")</f>
        <v>41</v>
      </c>
      <c r="G60" s="19" t="s">
        <v>539</v>
      </c>
      <c r="H60" s="19" t="n">
        <f aca="false">COUNTIF(L5:L58,"มีเฉพาะเครื่องมือเสริม")</f>
        <v>10</v>
      </c>
      <c r="I60" s="19" t="s">
        <v>540</v>
      </c>
      <c r="J60" s="19" t="n">
        <f aca="false">COUNTIF(L5:L58,"ไม่มีเครื่องมือในคลัง")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721</v>
      </c>
    </row>
    <row r="2" customFormat="false" ht="15" hidden="false" customHeight="false" outlineLevel="0" collapsed="false">
      <c r="A2" s="2" t="s">
        <v>722</v>
      </c>
    </row>
    <row r="4" customFormat="false" ht="42" hidden="false" customHeight="true" outlineLevel="0" collapsed="false">
      <c r="A4" s="3" t="s">
        <v>17</v>
      </c>
      <c r="B4" s="3" t="s">
        <v>723</v>
      </c>
      <c r="C4" s="3" t="s">
        <v>724</v>
      </c>
      <c r="D4" s="3" t="s">
        <v>725</v>
      </c>
    </row>
    <row r="5" customFormat="false" ht="15" hidden="false" customHeight="false" outlineLevel="0" collapsed="false">
      <c r="A5" s="20" t="s">
        <v>165</v>
      </c>
      <c r="B5" s="7" t="s">
        <v>726</v>
      </c>
      <c r="C5" s="7" t="s">
        <v>727</v>
      </c>
      <c r="D5" s="7" t="s">
        <v>728</v>
      </c>
    </row>
    <row r="6" customFormat="false" ht="15" hidden="false" customHeight="false" outlineLevel="0" collapsed="false">
      <c r="A6" s="20" t="s">
        <v>175</v>
      </c>
      <c r="B6" s="7" t="s">
        <v>726</v>
      </c>
      <c r="C6" s="7" t="s">
        <v>729</v>
      </c>
      <c r="D6" s="7" t="s">
        <v>730</v>
      </c>
    </row>
    <row r="7" customFormat="false" ht="15" hidden="false" customHeight="false" outlineLevel="0" collapsed="false">
      <c r="A7" s="20" t="s">
        <v>187</v>
      </c>
      <c r="B7" s="7" t="s">
        <v>731</v>
      </c>
      <c r="C7" s="7" t="s">
        <v>732</v>
      </c>
      <c r="D7" s="7" t="s">
        <v>733</v>
      </c>
    </row>
    <row r="8" customFormat="false" ht="15" hidden="false" customHeight="false" outlineLevel="0" collapsed="false">
      <c r="A8" s="20" t="s">
        <v>193</v>
      </c>
      <c r="B8" s="7" t="s">
        <v>734</v>
      </c>
      <c r="C8" s="7" t="s">
        <v>735</v>
      </c>
      <c r="D8" s="7" t="s">
        <v>736</v>
      </c>
    </row>
    <row r="9" customFormat="false" ht="15" hidden="false" customHeight="false" outlineLevel="0" collapsed="false">
      <c r="A9" s="20" t="s">
        <v>181</v>
      </c>
      <c r="B9" s="7" t="s">
        <v>737</v>
      </c>
      <c r="C9" s="7" t="s">
        <v>738</v>
      </c>
      <c r="D9" s="7" t="s">
        <v>739</v>
      </c>
    </row>
    <row r="10" customFormat="false" ht="15" hidden="false" customHeight="false" outlineLevel="0" collapsed="false">
      <c r="A10" s="20" t="s">
        <v>206</v>
      </c>
      <c r="B10" s="7" t="s">
        <v>740</v>
      </c>
      <c r="C10" s="7" t="s">
        <v>741</v>
      </c>
      <c r="D10" s="7" t="s">
        <v>742</v>
      </c>
    </row>
    <row r="11" customFormat="false" ht="15" hidden="false" customHeight="false" outlineLevel="0" collapsed="false">
      <c r="A11" s="20" t="s">
        <v>315</v>
      </c>
      <c r="B11" s="7" t="s">
        <v>743</v>
      </c>
      <c r="C11" s="7" t="s">
        <v>744</v>
      </c>
      <c r="D11" s="7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C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7.9" hidden="false" customHeight="false" outlineLevel="0" collapsed="false">
      <c r="A1" s="1" t="s">
        <v>746</v>
      </c>
    </row>
    <row r="2" customFormat="false" ht="15" hidden="false" customHeight="false" outlineLevel="0" collapsed="false">
      <c r="A2" s="2" t="s">
        <v>747</v>
      </c>
    </row>
    <row r="4" customFormat="false" ht="42" hidden="false" customHeight="true" outlineLevel="0" collapsed="false">
      <c r="A4" s="3" t="s">
        <v>17</v>
      </c>
      <c r="B4" s="3" t="s">
        <v>748</v>
      </c>
      <c r="C4" s="3" t="s">
        <v>749</v>
      </c>
    </row>
    <row r="5" customFormat="false" ht="15" hidden="false" customHeight="true" outlineLevel="0" collapsed="false">
      <c r="A5" s="21" t="s">
        <v>750</v>
      </c>
      <c r="B5" s="21"/>
      <c r="C5" s="21"/>
    </row>
    <row r="6" customFormat="false" ht="33.75" hidden="false" customHeight="true" outlineLevel="0" collapsed="false">
      <c r="A6" s="6" t="s">
        <v>152</v>
      </c>
      <c r="B6" s="19" t="s">
        <v>751</v>
      </c>
      <c r="C6" s="7" t="s">
        <v>752</v>
      </c>
    </row>
    <row r="7" customFormat="false" ht="33.75" hidden="false" customHeight="true" outlineLevel="0" collapsed="false">
      <c r="A7" s="6" t="s">
        <v>152</v>
      </c>
      <c r="B7" s="19" t="s">
        <v>753</v>
      </c>
      <c r="C7" s="7" t="s">
        <v>544</v>
      </c>
    </row>
    <row r="8" customFormat="false" ht="33.75" hidden="false" customHeight="true" outlineLevel="0" collapsed="false">
      <c r="A8" s="6" t="s">
        <v>152</v>
      </c>
      <c r="B8" s="19" t="s">
        <v>754</v>
      </c>
      <c r="C8" s="7" t="s">
        <v>755</v>
      </c>
    </row>
    <row r="9" customFormat="false" ht="33.75" hidden="false" customHeight="true" outlineLevel="0" collapsed="false">
      <c r="A9" s="6" t="s">
        <v>152</v>
      </c>
      <c r="B9" s="19" t="s">
        <v>756</v>
      </c>
      <c r="C9" s="7" t="s">
        <v>757</v>
      </c>
    </row>
    <row r="10" customFormat="false" ht="33.75" hidden="false" customHeight="true" outlineLevel="0" collapsed="false">
      <c r="A10" s="6" t="s">
        <v>152</v>
      </c>
      <c r="B10" s="19" t="s">
        <v>758</v>
      </c>
      <c r="C10" s="7" t="s">
        <v>759</v>
      </c>
    </row>
    <row r="11" customFormat="false" ht="33.75" hidden="false" customHeight="true" outlineLevel="0" collapsed="false">
      <c r="A11" s="6" t="s">
        <v>152</v>
      </c>
      <c r="B11" s="19" t="s">
        <v>760</v>
      </c>
      <c r="C11" s="7" t="s">
        <v>235</v>
      </c>
    </row>
    <row r="12" customFormat="false" ht="33.75" hidden="false" customHeight="true" outlineLevel="0" collapsed="false">
      <c r="A12" s="6" t="s">
        <v>152</v>
      </c>
      <c r="B12" s="19" t="s">
        <v>761</v>
      </c>
      <c r="C12" s="7" t="s">
        <v>548</v>
      </c>
    </row>
    <row r="13" customFormat="false" ht="33.75" hidden="false" customHeight="true" outlineLevel="0" collapsed="false">
      <c r="A13" s="6" t="s">
        <v>152</v>
      </c>
      <c r="B13" s="19" t="s">
        <v>762</v>
      </c>
      <c r="C13" s="7" t="s">
        <v>763</v>
      </c>
    </row>
    <row r="14" customFormat="false" ht="33.75" hidden="false" customHeight="true" outlineLevel="0" collapsed="false">
      <c r="A14" s="6" t="s">
        <v>152</v>
      </c>
      <c r="B14" s="19" t="s">
        <v>764</v>
      </c>
      <c r="C14" s="7" t="s">
        <v>765</v>
      </c>
    </row>
    <row r="15" customFormat="false" ht="33.75" hidden="false" customHeight="true" outlineLevel="0" collapsed="false">
      <c r="A15" s="6" t="s">
        <v>152</v>
      </c>
      <c r="B15" s="19" t="s">
        <v>766</v>
      </c>
      <c r="C15" s="15" t="s">
        <v>767</v>
      </c>
    </row>
    <row r="16" customFormat="false" ht="33.75" hidden="false" customHeight="true" outlineLevel="0" collapsed="false">
      <c r="A16" s="6" t="s">
        <v>152</v>
      </c>
      <c r="B16" s="19" t="s">
        <v>768</v>
      </c>
      <c r="C16" s="15" t="s">
        <v>769</v>
      </c>
    </row>
    <row r="17" customFormat="false" ht="33.75" hidden="false" customHeight="true" outlineLevel="0" collapsed="false">
      <c r="A17" s="6" t="s">
        <v>152</v>
      </c>
      <c r="B17" s="19" t="s">
        <v>770</v>
      </c>
      <c r="C17" s="15" t="s">
        <v>771</v>
      </c>
    </row>
    <row r="18" customFormat="false" ht="33.75" hidden="false" customHeight="true" outlineLevel="0" collapsed="false">
      <c r="A18" s="6" t="s">
        <v>152</v>
      </c>
      <c r="B18" s="19" t="s">
        <v>772</v>
      </c>
      <c r="C18" s="15" t="s">
        <v>773</v>
      </c>
    </row>
    <row r="19" customFormat="false" ht="33.75" hidden="false" customHeight="true" outlineLevel="0" collapsed="false">
      <c r="A19" s="6" t="s">
        <v>152</v>
      </c>
      <c r="B19" s="19" t="s">
        <v>774</v>
      </c>
      <c r="C19" s="15" t="s">
        <v>775</v>
      </c>
    </row>
    <row r="20" customFormat="false" ht="33.75" hidden="false" customHeight="true" outlineLevel="0" collapsed="false">
      <c r="A20" s="6" t="s">
        <v>152</v>
      </c>
      <c r="B20" s="19" t="s">
        <v>776</v>
      </c>
      <c r="C20" s="15" t="s">
        <v>777</v>
      </c>
    </row>
    <row r="21" customFormat="false" ht="33.75" hidden="false" customHeight="true" outlineLevel="0" collapsed="false">
      <c r="A21" s="6" t="s">
        <v>152</v>
      </c>
      <c r="B21" s="19" t="s">
        <v>778</v>
      </c>
      <c r="C21" s="7" t="s">
        <v>779</v>
      </c>
    </row>
    <row r="22" customFormat="false" ht="33.75" hidden="false" customHeight="true" outlineLevel="0" collapsed="false">
      <c r="A22" s="6" t="s">
        <v>152</v>
      </c>
      <c r="B22" s="19" t="s">
        <v>780</v>
      </c>
      <c r="C22" s="7" t="s">
        <v>781</v>
      </c>
    </row>
    <row r="23" customFormat="false" ht="33.75" hidden="false" customHeight="true" outlineLevel="0" collapsed="false">
      <c r="A23" s="6" t="s">
        <v>152</v>
      </c>
      <c r="B23" s="19" t="s">
        <v>782</v>
      </c>
      <c r="C23" s="7" t="s">
        <v>783</v>
      </c>
    </row>
    <row r="24" customFormat="false" ht="15" hidden="false" customHeight="true" outlineLevel="0" collapsed="false">
      <c r="A24" s="21" t="s">
        <v>784</v>
      </c>
      <c r="B24" s="21"/>
      <c r="C24" s="21"/>
    </row>
    <row r="25" customFormat="false" ht="33.75" hidden="false" customHeight="true" outlineLevel="0" collapsed="false">
      <c r="A25" s="6" t="s">
        <v>165</v>
      </c>
      <c r="B25" s="19" t="s">
        <v>751</v>
      </c>
      <c r="C25" s="7" t="s">
        <v>20</v>
      </c>
    </row>
    <row r="26" customFormat="false" ht="33.75" hidden="false" customHeight="true" outlineLevel="0" collapsed="false">
      <c r="A26" s="6" t="s">
        <v>165</v>
      </c>
      <c r="B26" s="19" t="s">
        <v>753</v>
      </c>
      <c r="C26" s="7" t="s">
        <v>552</v>
      </c>
    </row>
    <row r="27" customFormat="false" ht="33.75" hidden="false" customHeight="true" outlineLevel="0" collapsed="false">
      <c r="A27" s="6" t="s">
        <v>165</v>
      </c>
      <c r="B27" s="19" t="s">
        <v>754</v>
      </c>
      <c r="C27" s="7" t="s">
        <v>785</v>
      </c>
    </row>
    <row r="28" customFormat="false" ht="33.75" hidden="false" customHeight="true" outlineLevel="0" collapsed="false">
      <c r="A28" s="6" t="s">
        <v>165</v>
      </c>
      <c r="B28" s="19" t="s">
        <v>756</v>
      </c>
      <c r="C28" s="7" t="s">
        <v>786</v>
      </c>
    </row>
    <row r="29" customFormat="false" ht="33.75" hidden="false" customHeight="true" outlineLevel="0" collapsed="false">
      <c r="A29" s="6" t="s">
        <v>165</v>
      </c>
      <c r="B29" s="19" t="s">
        <v>758</v>
      </c>
      <c r="C29" s="7" t="s">
        <v>787</v>
      </c>
    </row>
    <row r="30" customFormat="false" ht="33.75" hidden="false" customHeight="true" outlineLevel="0" collapsed="false">
      <c r="A30" s="6" t="s">
        <v>165</v>
      </c>
      <c r="B30" s="19" t="s">
        <v>760</v>
      </c>
      <c r="C30" s="7" t="s">
        <v>788</v>
      </c>
    </row>
    <row r="31" customFormat="false" ht="33.75" hidden="false" customHeight="true" outlineLevel="0" collapsed="false">
      <c r="A31" s="6" t="s">
        <v>165</v>
      </c>
      <c r="B31" s="19" t="s">
        <v>761</v>
      </c>
      <c r="C31" s="7" t="s">
        <v>554</v>
      </c>
    </row>
    <row r="32" customFormat="false" ht="33.75" hidden="false" customHeight="true" outlineLevel="0" collapsed="false">
      <c r="A32" s="6" t="s">
        <v>165</v>
      </c>
      <c r="B32" s="19" t="s">
        <v>762</v>
      </c>
      <c r="C32" s="7" t="s">
        <v>15</v>
      </c>
    </row>
    <row r="33" customFormat="false" ht="33.75" hidden="false" customHeight="true" outlineLevel="0" collapsed="false">
      <c r="A33" s="6" t="s">
        <v>165</v>
      </c>
      <c r="B33" s="19" t="s">
        <v>764</v>
      </c>
      <c r="C33" s="7" t="s">
        <v>789</v>
      </c>
    </row>
    <row r="34" customFormat="false" ht="33.75" hidden="false" customHeight="true" outlineLevel="0" collapsed="false">
      <c r="A34" s="6" t="s">
        <v>165</v>
      </c>
      <c r="B34" s="19" t="s">
        <v>766</v>
      </c>
      <c r="C34" s="7" t="s">
        <v>790</v>
      </c>
    </row>
    <row r="35" customFormat="false" ht="33.75" hidden="false" customHeight="true" outlineLevel="0" collapsed="false">
      <c r="A35" s="6" t="s">
        <v>165</v>
      </c>
      <c r="B35" s="19" t="s">
        <v>768</v>
      </c>
      <c r="C35" s="15" t="s">
        <v>791</v>
      </c>
    </row>
    <row r="36" customFormat="false" ht="33.75" hidden="false" customHeight="true" outlineLevel="0" collapsed="false">
      <c r="A36" s="6" t="s">
        <v>165</v>
      </c>
      <c r="B36" s="19" t="s">
        <v>770</v>
      </c>
      <c r="C36" s="15" t="s">
        <v>792</v>
      </c>
    </row>
    <row r="37" customFormat="false" ht="33.75" hidden="false" customHeight="true" outlineLevel="0" collapsed="false">
      <c r="A37" s="6" t="s">
        <v>165</v>
      </c>
      <c r="B37" s="19" t="s">
        <v>772</v>
      </c>
      <c r="C37" s="15" t="s">
        <v>793</v>
      </c>
    </row>
    <row r="38" customFormat="false" ht="33.75" hidden="false" customHeight="true" outlineLevel="0" collapsed="false">
      <c r="A38" s="6" t="s">
        <v>165</v>
      </c>
      <c r="B38" s="19" t="s">
        <v>774</v>
      </c>
      <c r="C38" s="15" t="s">
        <v>794</v>
      </c>
    </row>
    <row r="39" customFormat="false" ht="33.75" hidden="false" customHeight="true" outlineLevel="0" collapsed="false">
      <c r="A39" s="6" t="s">
        <v>165</v>
      </c>
      <c r="B39" s="19" t="s">
        <v>776</v>
      </c>
      <c r="C39" s="15" t="s">
        <v>795</v>
      </c>
    </row>
    <row r="40" customFormat="false" ht="33.75" hidden="false" customHeight="true" outlineLevel="0" collapsed="false">
      <c r="A40" s="6" t="s">
        <v>165</v>
      </c>
      <c r="B40" s="19" t="s">
        <v>778</v>
      </c>
      <c r="C40" s="7" t="s">
        <v>796</v>
      </c>
    </row>
    <row r="41" customFormat="false" ht="33.75" hidden="false" customHeight="true" outlineLevel="0" collapsed="false">
      <c r="A41" s="6" t="s">
        <v>165</v>
      </c>
      <c r="B41" s="19" t="s">
        <v>780</v>
      </c>
      <c r="C41" s="7" t="s">
        <v>797</v>
      </c>
    </row>
    <row r="42" customFormat="false" ht="33.75" hidden="false" customHeight="true" outlineLevel="0" collapsed="false">
      <c r="A42" s="6" t="s">
        <v>165</v>
      </c>
      <c r="B42" s="19" t="s">
        <v>782</v>
      </c>
      <c r="C42" s="7" t="s">
        <v>798</v>
      </c>
    </row>
    <row r="43" customFormat="false" ht="15" hidden="false" customHeight="true" outlineLevel="0" collapsed="false">
      <c r="A43" s="21" t="s">
        <v>799</v>
      </c>
      <c r="B43" s="21"/>
      <c r="C43" s="21"/>
    </row>
    <row r="44" customFormat="false" ht="33.75" hidden="false" customHeight="true" outlineLevel="0" collapsed="false">
      <c r="A44" s="6" t="s">
        <v>170</v>
      </c>
      <c r="B44" s="19" t="s">
        <v>751</v>
      </c>
      <c r="C44" s="7" t="s">
        <v>800</v>
      </c>
    </row>
    <row r="45" customFormat="false" ht="33.75" hidden="false" customHeight="true" outlineLevel="0" collapsed="false">
      <c r="A45" s="6" t="s">
        <v>170</v>
      </c>
      <c r="B45" s="19" t="s">
        <v>753</v>
      </c>
      <c r="C45" s="7" t="s">
        <v>558</v>
      </c>
    </row>
    <row r="46" customFormat="false" ht="33.75" hidden="false" customHeight="true" outlineLevel="0" collapsed="false">
      <c r="A46" s="6" t="s">
        <v>170</v>
      </c>
      <c r="B46" s="19" t="s">
        <v>754</v>
      </c>
      <c r="C46" s="7" t="s">
        <v>801</v>
      </c>
    </row>
    <row r="47" customFormat="false" ht="33.75" hidden="false" customHeight="true" outlineLevel="0" collapsed="false">
      <c r="A47" s="6" t="s">
        <v>170</v>
      </c>
      <c r="B47" s="19" t="s">
        <v>756</v>
      </c>
      <c r="C47" s="7" t="s">
        <v>802</v>
      </c>
    </row>
    <row r="48" customFormat="false" ht="33.75" hidden="false" customHeight="true" outlineLevel="0" collapsed="false">
      <c r="A48" s="6" t="s">
        <v>170</v>
      </c>
      <c r="B48" s="19" t="s">
        <v>758</v>
      </c>
      <c r="C48" s="7" t="s">
        <v>803</v>
      </c>
    </row>
    <row r="49" customFormat="false" ht="33.75" hidden="false" customHeight="true" outlineLevel="0" collapsed="false">
      <c r="A49" s="6" t="s">
        <v>170</v>
      </c>
      <c r="B49" s="19" t="s">
        <v>760</v>
      </c>
      <c r="C49" s="7" t="s">
        <v>506</v>
      </c>
    </row>
    <row r="50" customFormat="false" ht="33.75" hidden="false" customHeight="true" outlineLevel="0" collapsed="false">
      <c r="A50" s="6" t="s">
        <v>170</v>
      </c>
      <c r="B50" s="19" t="s">
        <v>761</v>
      </c>
      <c r="C50" s="7" t="s">
        <v>232</v>
      </c>
    </row>
    <row r="51" customFormat="false" ht="33.75" hidden="false" customHeight="true" outlineLevel="0" collapsed="false">
      <c r="A51" s="6" t="s">
        <v>170</v>
      </c>
      <c r="B51" s="19" t="s">
        <v>762</v>
      </c>
      <c r="C51" s="7" t="s">
        <v>804</v>
      </c>
    </row>
    <row r="52" customFormat="false" ht="33.75" hidden="false" customHeight="true" outlineLevel="0" collapsed="false">
      <c r="A52" s="6" t="s">
        <v>170</v>
      </c>
      <c r="B52" s="19" t="s">
        <v>764</v>
      </c>
      <c r="C52" s="7" t="s">
        <v>805</v>
      </c>
    </row>
    <row r="53" customFormat="false" ht="33.75" hidden="false" customHeight="true" outlineLevel="0" collapsed="false">
      <c r="A53" s="6" t="s">
        <v>170</v>
      </c>
      <c r="B53" s="19" t="s">
        <v>766</v>
      </c>
      <c r="C53" s="7" t="s">
        <v>806</v>
      </c>
    </row>
    <row r="54" customFormat="false" ht="33.75" hidden="false" customHeight="true" outlineLevel="0" collapsed="false">
      <c r="A54" s="6" t="s">
        <v>170</v>
      </c>
      <c r="B54" s="19" t="s">
        <v>768</v>
      </c>
      <c r="C54" s="15" t="s">
        <v>807</v>
      </c>
    </row>
    <row r="55" customFormat="false" ht="33.75" hidden="false" customHeight="true" outlineLevel="0" collapsed="false">
      <c r="A55" s="6" t="s">
        <v>170</v>
      </c>
      <c r="B55" s="19" t="s">
        <v>770</v>
      </c>
      <c r="C55" s="15" t="s">
        <v>808</v>
      </c>
    </row>
    <row r="56" customFormat="false" ht="33.75" hidden="false" customHeight="true" outlineLevel="0" collapsed="false">
      <c r="A56" s="6" t="s">
        <v>170</v>
      </c>
      <c r="B56" s="19" t="s">
        <v>772</v>
      </c>
      <c r="C56" s="15" t="s">
        <v>809</v>
      </c>
    </row>
    <row r="57" customFormat="false" ht="33.75" hidden="false" customHeight="true" outlineLevel="0" collapsed="false">
      <c r="A57" s="6" t="s">
        <v>170</v>
      </c>
      <c r="B57" s="19" t="s">
        <v>774</v>
      </c>
      <c r="C57" s="15" t="s">
        <v>810</v>
      </c>
    </row>
    <row r="58" customFormat="false" ht="33.75" hidden="false" customHeight="true" outlineLevel="0" collapsed="false">
      <c r="A58" s="6" t="s">
        <v>170</v>
      </c>
      <c r="B58" s="19" t="s">
        <v>776</v>
      </c>
      <c r="C58" s="15" t="s">
        <v>811</v>
      </c>
    </row>
    <row r="59" customFormat="false" ht="33.75" hidden="false" customHeight="true" outlineLevel="0" collapsed="false">
      <c r="A59" s="6" t="s">
        <v>170</v>
      </c>
      <c r="B59" s="19" t="s">
        <v>778</v>
      </c>
      <c r="C59" s="7" t="s">
        <v>812</v>
      </c>
    </row>
    <row r="60" customFormat="false" ht="33.75" hidden="false" customHeight="true" outlineLevel="0" collapsed="false">
      <c r="A60" s="6" t="s">
        <v>170</v>
      </c>
      <c r="B60" s="19" t="s">
        <v>780</v>
      </c>
      <c r="C60" s="7" t="s">
        <v>813</v>
      </c>
    </row>
    <row r="61" customFormat="false" ht="33.75" hidden="false" customHeight="true" outlineLevel="0" collapsed="false">
      <c r="A61" s="6" t="s">
        <v>170</v>
      </c>
      <c r="B61" s="19" t="s">
        <v>782</v>
      </c>
      <c r="C61" s="7" t="s">
        <v>814</v>
      </c>
    </row>
    <row r="62" customFormat="false" ht="15" hidden="false" customHeight="true" outlineLevel="0" collapsed="false">
      <c r="A62" s="21" t="s">
        <v>815</v>
      </c>
      <c r="B62" s="21"/>
      <c r="C62" s="21"/>
    </row>
    <row r="63" customFormat="false" ht="33.75" hidden="false" customHeight="true" outlineLevel="0" collapsed="false">
      <c r="A63" s="6" t="s">
        <v>175</v>
      </c>
      <c r="B63" s="19" t="s">
        <v>751</v>
      </c>
      <c r="C63" s="7" t="s">
        <v>816</v>
      </c>
    </row>
    <row r="64" customFormat="false" ht="33.75" hidden="false" customHeight="true" outlineLevel="0" collapsed="false">
      <c r="A64" s="6" t="s">
        <v>175</v>
      </c>
      <c r="B64" s="19" t="s">
        <v>753</v>
      </c>
      <c r="C64" s="7" t="s">
        <v>563</v>
      </c>
    </row>
    <row r="65" customFormat="false" ht="33.75" hidden="false" customHeight="true" outlineLevel="0" collapsed="false">
      <c r="A65" s="6" t="s">
        <v>175</v>
      </c>
      <c r="B65" s="19" t="s">
        <v>754</v>
      </c>
      <c r="C65" s="7" t="s">
        <v>817</v>
      </c>
    </row>
    <row r="66" customFormat="false" ht="33.75" hidden="false" customHeight="true" outlineLevel="0" collapsed="false">
      <c r="A66" s="6" t="s">
        <v>175</v>
      </c>
      <c r="B66" s="19" t="s">
        <v>756</v>
      </c>
      <c r="C66" s="7" t="s">
        <v>818</v>
      </c>
    </row>
    <row r="67" customFormat="false" ht="33.75" hidden="false" customHeight="true" outlineLevel="0" collapsed="false">
      <c r="A67" s="6" t="s">
        <v>175</v>
      </c>
      <c r="B67" s="19" t="s">
        <v>758</v>
      </c>
      <c r="C67" s="7" t="s">
        <v>819</v>
      </c>
    </row>
    <row r="68" customFormat="false" ht="33.75" hidden="false" customHeight="true" outlineLevel="0" collapsed="false">
      <c r="A68" s="6" t="s">
        <v>175</v>
      </c>
      <c r="B68" s="19" t="s">
        <v>760</v>
      </c>
      <c r="C68" s="7" t="s">
        <v>820</v>
      </c>
    </row>
    <row r="69" customFormat="false" ht="33.75" hidden="false" customHeight="true" outlineLevel="0" collapsed="false">
      <c r="A69" s="6" t="s">
        <v>175</v>
      </c>
      <c r="B69" s="19" t="s">
        <v>761</v>
      </c>
      <c r="C69" s="7" t="s">
        <v>410</v>
      </c>
    </row>
    <row r="70" customFormat="false" ht="33.75" hidden="false" customHeight="true" outlineLevel="0" collapsed="false">
      <c r="A70" s="6" t="s">
        <v>175</v>
      </c>
      <c r="B70" s="19" t="s">
        <v>762</v>
      </c>
      <c r="C70" s="7" t="s">
        <v>821</v>
      </c>
    </row>
    <row r="71" customFormat="false" ht="33.75" hidden="false" customHeight="true" outlineLevel="0" collapsed="false">
      <c r="A71" s="6" t="s">
        <v>175</v>
      </c>
      <c r="B71" s="19" t="s">
        <v>764</v>
      </c>
      <c r="C71" s="7" t="s">
        <v>822</v>
      </c>
    </row>
    <row r="72" customFormat="false" ht="33.75" hidden="false" customHeight="true" outlineLevel="0" collapsed="false">
      <c r="A72" s="6" t="s">
        <v>175</v>
      </c>
      <c r="B72" s="19" t="s">
        <v>766</v>
      </c>
      <c r="C72" s="7" t="s">
        <v>823</v>
      </c>
    </row>
    <row r="73" customFormat="false" ht="33.75" hidden="false" customHeight="true" outlineLevel="0" collapsed="false">
      <c r="A73" s="6" t="s">
        <v>175</v>
      </c>
      <c r="B73" s="19" t="s">
        <v>768</v>
      </c>
      <c r="C73" s="15" t="s">
        <v>824</v>
      </c>
    </row>
    <row r="74" customFormat="false" ht="33.75" hidden="false" customHeight="true" outlineLevel="0" collapsed="false">
      <c r="A74" s="6" t="s">
        <v>175</v>
      </c>
      <c r="B74" s="19" t="s">
        <v>770</v>
      </c>
      <c r="C74" s="15" t="s">
        <v>825</v>
      </c>
    </row>
    <row r="75" customFormat="false" ht="33.75" hidden="false" customHeight="true" outlineLevel="0" collapsed="false">
      <c r="A75" s="6" t="s">
        <v>175</v>
      </c>
      <c r="B75" s="19" t="s">
        <v>772</v>
      </c>
      <c r="C75" s="15" t="s">
        <v>826</v>
      </c>
    </row>
    <row r="76" customFormat="false" ht="33.75" hidden="false" customHeight="true" outlineLevel="0" collapsed="false">
      <c r="A76" s="6" t="s">
        <v>175</v>
      </c>
      <c r="B76" s="19" t="s">
        <v>774</v>
      </c>
      <c r="C76" s="15" t="s">
        <v>827</v>
      </c>
    </row>
    <row r="77" customFormat="false" ht="33.75" hidden="false" customHeight="true" outlineLevel="0" collapsed="false">
      <c r="A77" s="6" t="s">
        <v>175</v>
      </c>
      <c r="B77" s="19" t="s">
        <v>776</v>
      </c>
      <c r="C77" s="15" t="s">
        <v>828</v>
      </c>
    </row>
    <row r="78" customFormat="false" ht="33.75" hidden="false" customHeight="true" outlineLevel="0" collapsed="false">
      <c r="A78" s="6" t="s">
        <v>175</v>
      </c>
      <c r="B78" s="19" t="s">
        <v>778</v>
      </c>
      <c r="C78" s="7" t="s">
        <v>829</v>
      </c>
    </row>
    <row r="79" customFormat="false" ht="33.75" hidden="false" customHeight="true" outlineLevel="0" collapsed="false">
      <c r="A79" s="6" t="s">
        <v>175</v>
      </c>
      <c r="B79" s="19" t="s">
        <v>780</v>
      </c>
      <c r="C79" s="7" t="s">
        <v>830</v>
      </c>
    </row>
    <row r="80" customFormat="false" ht="33.75" hidden="false" customHeight="true" outlineLevel="0" collapsed="false">
      <c r="A80" s="6" t="s">
        <v>175</v>
      </c>
      <c r="B80" s="19" t="s">
        <v>782</v>
      </c>
      <c r="C80" s="7" t="s">
        <v>831</v>
      </c>
    </row>
    <row r="81" customFormat="false" ht="15" hidden="false" customHeight="true" outlineLevel="0" collapsed="false">
      <c r="A81" s="21" t="s">
        <v>832</v>
      </c>
      <c r="B81" s="21"/>
      <c r="C81" s="21"/>
    </row>
    <row r="82" customFormat="false" ht="33.75" hidden="false" customHeight="true" outlineLevel="0" collapsed="false">
      <c r="A82" s="6" t="s">
        <v>187</v>
      </c>
      <c r="B82" s="19" t="s">
        <v>751</v>
      </c>
      <c r="C82" s="7" t="s">
        <v>833</v>
      </c>
    </row>
    <row r="83" customFormat="false" ht="33.75" hidden="false" customHeight="true" outlineLevel="0" collapsed="false">
      <c r="A83" s="6" t="s">
        <v>187</v>
      </c>
      <c r="B83" s="19" t="s">
        <v>753</v>
      </c>
      <c r="C83" s="7" t="s">
        <v>569</v>
      </c>
    </row>
    <row r="84" customFormat="false" ht="33.75" hidden="false" customHeight="true" outlineLevel="0" collapsed="false">
      <c r="A84" s="6" t="s">
        <v>187</v>
      </c>
      <c r="B84" s="19" t="s">
        <v>754</v>
      </c>
      <c r="C84" s="7" t="s">
        <v>834</v>
      </c>
    </row>
    <row r="85" customFormat="false" ht="33.75" hidden="false" customHeight="true" outlineLevel="0" collapsed="false">
      <c r="A85" s="6" t="s">
        <v>187</v>
      </c>
      <c r="B85" s="19" t="s">
        <v>756</v>
      </c>
      <c r="C85" s="7" t="s">
        <v>835</v>
      </c>
    </row>
    <row r="86" customFormat="false" ht="33.75" hidden="false" customHeight="true" outlineLevel="0" collapsed="false">
      <c r="A86" s="6" t="s">
        <v>187</v>
      </c>
      <c r="B86" s="19" t="s">
        <v>758</v>
      </c>
      <c r="C86" s="7" t="s">
        <v>836</v>
      </c>
    </row>
    <row r="87" customFormat="false" ht="33.75" hidden="false" customHeight="true" outlineLevel="0" collapsed="false">
      <c r="A87" s="6" t="s">
        <v>187</v>
      </c>
      <c r="B87" s="19" t="s">
        <v>760</v>
      </c>
      <c r="C87" s="7" t="s">
        <v>277</v>
      </c>
    </row>
    <row r="88" customFormat="false" ht="33.75" hidden="false" customHeight="true" outlineLevel="0" collapsed="false">
      <c r="A88" s="6" t="s">
        <v>187</v>
      </c>
      <c r="B88" s="19" t="s">
        <v>761</v>
      </c>
      <c r="C88" s="7" t="s">
        <v>572</v>
      </c>
    </row>
    <row r="89" customFormat="false" ht="33.75" hidden="false" customHeight="true" outlineLevel="0" collapsed="false">
      <c r="A89" s="6" t="s">
        <v>187</v>
      </c>
      <c r="B89" s="19" t="s">
        <v>762</v>
      </c>
      <c r="C89" s="7" t="s">
        <v>837</v>
      </c>
    </row>
    <row r="90" customFormat="false" ht="33.75" hidden="false" customHeight="true" outlineLevel="0" collapsed="false">
      <c r="A90" s="6" t="s">
        <v>187</v>
      </c>
      <c r="B90" s="19" t="s">
        <v>764</v>
      </c>
      <c r="C90" s="7" t="s">
        <v>838</v>
      </c>
    </row>
    <row r="91" customFormat="false" ht="33.75" hidden="false" customHeight="true" outlineLevel="0" collapsed="false">
      <c r="A91" s="6" t="s">
        <v>187</v>
      </c>
      <c r="B91" s="19" t="s">
        <v>766</v>
      </c>
      <c r="C91" s="7" t="s">
        <v>839</v>
      </c>
    </row>
    <row r="92" customFormat="false" ht="33.75" hidden="false" customHeight="true" outlineLevel="0" collapsed="false">
      <c r="A92" s="6" t="s">
        <v>187</v>
      </c>
      <c r="B92" s="19" t="s">
        <v>768</v>
      </c>
      <c r="C92" s="15" t="s">
        <v>840</v>
      </c>
    </row>
    <row r="93" customFormat="false" ht="33.75" hidden="false" customHeight="true" outlineLevel="0" collapsed="false">
      <c r="A93" s="6" t="s">
        <v>187</v>
      </c>
      <c r="B93" s="19" t="s">
        <v>770</v>
      </c>
      <c r="C93" s="15" t="s">
        <v>841</v>
      </c>
    </row>
    <row r="94" customFormat="false" ht="33.75" hidden="false" customHeight="true" outlineLevel="0" collapsed="false">
      <c r="A94" s="6" t="s">
        <v>187</v>
      </c>
      <c r="B94" s="19" t="s">
        <v>772</v>
      </c>
      <c r="C94" s="15" t="s">
        <v>842</v>
      </c>
    </row>
    <row r="95" customFormat="false" ht="33.75" hidden="false" customHeight="true" outlineLevel="0" collapsed="false">
      <c r="A95" s="6" t="s">
        <v>187</v>
      </c>
      <c r="B95" s="19" t="s">
        <v>774</v>
      </c>
      <c r="C95" s="15" t="s">
        <v>843</v>
      </c>
    </row>
    <row r="96" customFormat="false" ht="33.75" hidden="false" customHeight="true" outlineLevel="0" collapsed="false">
      <c r="A96" s="6" t="s">
        <v>187</v>
      </c>
      <c r="B96" s="19" t="s">
        <v>776</v>
      </c>
      <c r="C96" s="15" t="s">
        <v>844</v>
      </c>
    </row>
    <row r="97" customFormat="false" ht="33.75" hidden="false" customHeight="true" outlineLevel="0" collapsed="false">
      <c r="A97" s="6" t="s">
        <v>187</v>
      </c>
      <c r="B97" s="19" t="s">
        <v>778</v>
      </c>
      <c r="C97" s="7" t="s">
        <v>845</v>
      </c>
    </row>
    <row r="98" customFormat="false" ht="33.75" hidden="false" customHeight="true" outlineLevel="0" collapsed="false">
      <c r="A98" s="6" t="s">
        <v>187</v>
      </c>
      <c r="B98" s="19" t="s">
        <v>780</v>
      </c>
      <c r="C98" s="7" t="s">
        <v>846</v>
      </c>
    </row>
    <row r="99" customFormat="false" ht="33.75" hidden="false" customHeight="true" outlineLevel="0" collapsed="false">
      <c r="A99" s="6" t="s">
        <v>187</v>
      </c>
      <c r="B99" s="19" t="s">
        <v>782</v>
      </c>
      <c r="C99" s="7" t="s">
        <v>847</v>
      </c>
    </row>
    <row r="100" customFormat="false" ht="15" hidden="false" customHeight="true" outlineLevel="0" collapsed="false">
      <c r="A100" s="21" t="s">
        <v>848</v>
      </c>
      <c r="B100" s="21"/>
      <c r="C100" s="21"/>
    </row>
    <row r="101" customFormat="false" ht="33.75" hidden="false" customHeight="true" outlineLevel="0" collapsed="false">
      <c r="A101" s="6" t="s">
        <v>193</v>
      </c>
      <c r="B101" s="19" t="s">
        <v>751</v>
      </c>
      <c r="C101" s="7" t="s">
        <v>849</v>
      </c>
    </row>
    <row r="102" customFormat="false" ht="33.75" hidden="false" customHeight="true" outlineLevel="0" collapsed="false">
      <c r="A102" s="6" t="s">
        <v>193</v>
      </c>
      <c r="B102" s="19" t="s">
        <v>753</v>
      </c>
      <c r="C102" s="7" t="s">
        <v>576</v>
      </c>
    </row>
    <row r="103" customFormat="false" ht="33.75" hidden="false" customHeight="true" outlineLevel="0" collapsed="false">
      <c r="A103" s="6" t="s">
        <v>193</v>
      </c>
      <c r="B103" s="19" t="s">
        <v>754</v>
      </c>
      <c r="C103" s="7" t="s">
        <v>850</v>
      </c>
    </row>
    <row r="104" customFormat="false" ht="33.75" hidden="false" customHeight="true" outlineLevel="0" collapsed="false">
      <c r="A104" s="6" t="s">
        <v>193</v>
      </c>
      <c r="B104" s="19" t="s">
        <v>756</v>
      </c>
      <c r="C104" s="7" t="s">
        <v>851</v>
      </c>
    </row>
    <row r="105" customFormat="false" ht="33.75" hidden="false" customHeight="true" outlineLevel="0" collapsed="false">
      <c r="A105" s="6" t="s">
        <v>193</v>
      </c>
      <c r="B105" s="19" t="s">
        <v>758</v>
      </c>
      <c r="C105" s="7" t="s">
        <v>852</v>
      </c>
    </row>
    <row r="106" customFormat="false" ht="33.75" hidden="false" customHeight="true" outlineLevel="0" collapsed="false">
      <c r="A106" s="6" t="s">
        <v>193</v>
      </c>
      <c r="B106" s="19" t="s">
        <v>760</v>
      </c>
      <c r="C106" s="7" t="s">
        <v>579</v>
      </c>
    </row>
    <row r="107" customFormat="false" ht="33.75" hidden="false" customHeight="true" outlineLevel="0" collapsed="false">
      <c r="A107" s="6" t="s">
        <v>193</v>
      </c>
      <c r="B107" s="19" t="s">
        <v>761</v>
      </c>
      <c r="C107" s="7" t="s">
        <v>572</v>
      </c>
    </row>
    <row r="108" customFormat="false" ht="33.75" hidden="false" customHeight="true" outlineLevel="0" collapsed="false">
      <c r="A108" s="6" t="s">
        <v>193</v>
      </c>
      <c r="B108" s="19" t="s">
        <v>762</v>
      </c>
      <c r="C108" s="7" t="s">
        <v>853</v>
      </c>
    </row>
    <row r="109" customFormat="false" ht="33.75" hidden="false" customHeight="true" outlineLevel="0" collapsed="false">
      <c r="A109" s="6" t="s">
        <v>193</v>
      </c>
      <c r="B109" s="19" t="s">
        <v>764</v>
      </c>
      <c r="C109" s="7" t="s">
        <v>854</v>
      </c>
    </row>
    <row r="110" customFormat="false" ht="33.75" hidden="false" customHeight="true" outlineLevel="0" collapsed="false">
      <c r="A110" s="6" t="s">
        <v>193</v>
      </c>
      <c r="B110" s="19" t="s">
        <v>766</v>
      </c>
      <c r="C110" s="7" t="s">
        <v>855</v>
      </c>
    </row>
    <row r="111" customFormat="false" ht="33.75" hidden="false" customHeight="true" outlineLevel="0" collapsed="false">
      <c r="A111" s="6" t="s">
        <v>193</v>
      </c>
      <c r="B111" s="19" t="s">
        <v>768</v>
      </c>
      <c r="C111" s="15" t="s">
        <v>856</v>
      </c>
    </row>
    <row r="112" customFormat="false" ht="33.75" hidden="false" customHeight="true" outlineLevel="0" collapsed="false">
      <c r="A112" s="6" t="s">
        <v>193</v>
      </c>
      <c r="B112" s="19" t="s">
        <v>770</v>
      </c>
      <c r="C112" s="15" t="s">
        <v>857</v>
      </c>
    </row>
    <row r="113" customFormat="false" ht="33.75" hidden="false" customHeight="true" outlineLevel="0" collapsed="false">
      <c r="A113" s="6" t="s">
        <v>193</v>
      </c>
      <c r="B113" s="19" t="s">
        <v>772</v>
      </c>
      <c r="C113" s="15" t="s">
        <v>858</v>
      </c>
    </row>
    <row r="114" customFormat="false" ht="33.75" hidden="false" customHeight="true" outlineLevel="0" collapsed="false">
      <c r="A114" s="6" t="s">
        <v>193</v>
      </c>
      <c r="B114" s="19" t="s">
        <v>774</v>
      </c>
      <c r="C114" s="15" t="s">
        <v>859</v>
      </c>
    </row>
    <row r="115" customFormat="false" ht="33.75" hidden="false" customHeight="true" outlineLevel="0" collapsed="false">
      <c r="A115" s="6" t="s">
        <v>193</v>
      </c>
      <c r="B115" s="19" t="s">
        <v>776</v>
      </c>
      <c r="C115" s="15" t="s">
        <v>860</v>
      </c>
    </row>
    <row r="116" customFormat="false" ht="33.75" hidden="false" customHeight="true" outlineLevel="0" collapsed="false">
      <c r="A116" s="6" t="s">
        <v>193</v>
      </c>
      <c r="B116" s="19" t="s">
        <v>778</v>
      </c>
      <c r="C116" s="7" t="s">
        <v>861</v>
      </c>
    </row>
    <row r="117" customFormat="false" ht="33.75" hidden="false" customHeight="true" outlineLevel="0" collapsed="false">
      <c r="A117" s="6" t="s">
        <v>193</v>
      </c>
      <c r="B117" s="19" t="s">
        <v>780</v>
      </c>
      <c r="C117" s="7" t="s">
        <v>862</v>
      </c>
    </row>
    <row r="118" customFormat="false" ht="33.75" hidden="false" customHeight="true" outlineLevel="0" collapsed="false">
      <c r="A118" s="6" t="s">
        <v>193</v>
      </c>
      <c r="B118" s="19" t="s">
        <v>782</v>
      </c>
      <c r="C118" s="7" t="s">
        <v>863</v>
      </c>
    </row>
    <row r="119" customFormat="false" ht="15" hidden="false" customHeight="true" outlineLevel="0" collapsed="false">
      <c r="A119" s="21" t="s">
        <v>864</v>
      </c>
      <c r="B119" s="21"/>
      <c r="C119" s="21"/>
    </row>
    <row r="120" customFormat="false" ht="33.75" hidden="false" customHeight="true" outlineLevel="0" collapsed="false">
      <c r="A120" s="6" t="s">
        <v>181</v>
      </c>
      <c r="B120" s="19" t="s">
        <v>751</v>
      </c>
      <c r="C120" s="7" t="s">
        <v>865</v>
      </c>
    </row>
    <row r="121" customFormat="false" ht="33.75" hidden="false" customHeight="true" outlineLevel="0" collapsed="false">
      <c r="A121" s="6" t="s">
        <v>181</v>
      </c>
      <c r="B121" s="19" t="s">
        <v>753</v>
      </c>
      <c r="C121" s="7" t="s">
        <v>583</v>
      </c>
    </row>
    <row r="122" customFormat="false" ht="33.75" hidden="false" customHeight="true" outlineLevel="0" collapsed="false">
      <c r="A122" s="6" t="s">
        <v>181</v>
      </c>
      <c r="B122" s="19" t="s">
        <v>754</v>
      </c>
      <c r="C122" s="7" t="s">
        <v>866</v>
      </c>
    </row>
    <row r="123" customFormat="false" ht="33.75" hidden="false" customHeight="true" outlineLevel="0" collapsed="false">
      <c r="A123" s="6" t="s">
        <v>181</v>
      </c>
      <c r="B123" s="19" t="s">
        <v>756</v>
      </c>
      <c r="C123" s="7" t="s">
        <v>867</v>
      </c>
    </row>
    <row r="124" customFormat="false" ht="33.75" hidden="false" customHeight="true" outlineLevel="0" collapsed="false">
      <c r="A124" s="6" t="s">
        <v>181</v>
      </c>
      <c r="B124" s="19" t="s">
        <v>758</v>
      </c>
      <c r="C124" s="7" t="s">
        <v>868</v>
      </c>
    </row>
    <row r="125" customFormat="false" ht="33.75" hidden="false" customHeight="true" outlineLevel="0" collapsed="false">
      <c r="A125" s="6" t="s">
        <v>181</v>
      </c>
      <c r="B125" s="19" t="s">
        <v>760</v>
      </c>
      <c r="C125" s="7" t="s">
        <v>586</v>
      </c>
    </row>
    <row r="126" customFormat="false" ht="33.75" hidden="false" customHeight="true" outlineLevel="0" collapsed="false">
      <c r="A126" s="6" t="s">
        <v>181</v>
      </c>
      <c r="B126" s="19" t="s">
        <v>761</v>
      </c>
      <c r="C126" s="7" t="s">
        <v>572</v>
      </c>
    </row>
    <row r="127" customFormat="false" ht="33.75" hidden="false" customHeight="true" outlineLevel="0" collapsed="false">
      <c r="A127" s="6" t="s">
        <v>181</v>
      </c>
      <c r="B127" s="19" t="s">
        <v>762</v>
      </c>
      <c r="C127" s="7" t="s">
        <v>869</v>
      </c>
    </row>
    <row r="128" customFormat="false" ht="33.75" hidden="false" customHeight="true" outlineLevel="0" collapsed="false">
      <c r="A128" s="6" t="s">
        <v>181</v>
      </c>
      <c r="B128" s="19" t="s">
        <v>764</v>
      </c>
      <c r="C128" s="7" t="s">
        <v>870</v>
      </c>
    </row>
    <row r="129" customFormat="false" ht="33.75" hidden="false" customHeight="true" outlineLevel="0" collapsed="false">
      <c r="A129" s="6" t="s">
        <v>181</v>
      </c>
      <c r="B129" s="19" t="s">
        <v>766</v>
      </c>
      <c r="C129" s="7" t="s">
        <v>871</v>
      </c>
    </row>
    <row r="130" customFormat="false" ht="33.75" hidden="false" customHeight="true" outlineLevel="0" collapsed="false">
      <c r="A130" s="6" t="s">
        <v>181</v>
      </c>
      <c r="B130" s="19" t="s">
        <v>768</v>
      </c>
      <c r="C130" s="15" t="s">
        <v>872</v>
      </c>
    </row>
    <row r="131" customFormat="false" ht="33.75" hidden="false" customHeight="true" outlineLevel="0" collapsed="false">
      <c r="A131" s="6" t="s">
        <v>181</v>
      </c>
      <c r="B131" s="19" t="s">
        <v>770</v>
      </c>
      <c r="C131" s="15" t="s">
        <v>873</v>
      </c>
    </row>
    <row r="132" customFormat="false" ht="33.75" hidden="false" customHeight="true" outlineLevel="0" collapsed="false">
      <c r="A132" s="6" t="s">
        <v>181</v>
      </c>
      <c r="B132" s="19" t="s">
        <v>772</v>
      </c>
      <c r="C132" s="15" t="s">
        <v>874</v>
      </c>
    </row>
    <row r="133" customFormat="false" ht="33.75" hidden="false" customHeight="true" outlineLevel="0" collapsed="false">
      <c r="A133" s="6" t="s">
        <v>181</v>
      </c>
      <c r="B133" s="19" t="s">
        <v>774</v>
      </c>
      <c r="C133" s="15" t="s">
        <v>875</v>
      </c>
    </row>
    <row r="134" customFormat="false" ht="33.75" hidden="false" customHeight="true" outlineLevel="0" collapsed="false">
      <c r="A134" s="6" t="s">
        <v>181</v>
      </c>
      <c r="B134" s="19" t="s">
        <v>776</v>
      </c>
      <c r="C134" s="15" t="s">
        <v>876</v>
      </c>
    </row>
    <row r="135" customFormat="false" ht="33.75" hidden="false" customHeight="true" outlineLevel="0" collapsed="false">
      <c r="A135" s="6" t="s">
        <v>181</v>
      </c>
      <c r="B135" s="19" t="s">
        <v>778</v>
      </c>
      <c r="C135" s="7" t="s">
        <v>877</v>
      </c>
    </row>
    <row r="136" customFormat="false" ht="33.75" hidden="false" customHeight="true" outlineLevel="0" collapsed="false">
      <c r="A136" s="6" t="s">
        <v>181</v>
      </c>
      <c r="B136" s="19" t="s">
        <v>780</v>
      </c>
      <c r="C136" s="7" t="s">
        <v>878</v>
      </c>
    </row>
    <row r="137" customFormat="false" ht="33.75" hidden="false" customHeight="true" outlineLevel="0" collapsed="false">
      <c r="A137" s="6" t="s">
        <v>181</v>
      </c>
      <c r="B137" s="19" t="s">
        <v>782</v>
      </c>
      <c r="C137" s="7" t="s">
        <v>879</v>
      </c>
    </row>
    <row r="138" customFormat="false" ht="15" hidden="false" customHeight="true" outlineLevel="0" collapsed="false">
      <c r="A138" s="21" t="s">
        <v>880</v>
      </c>
      <c r="B138" s="21"/>
      <c r="C138" s="21"/>
    </row>
    <row r="139" customFormat="false" ht="33.75" hidden="false" customHeight="true" outlineLevel="0" collapsed="false">
      <c r="A139" s="6" t="s">
        <v>206</v>
      </c>
      <c r="B139" s="19" t="s">
        <v>751</v>
      </c>
      <c r="C139" s="7" t="s">
        <v>881</v>
      </c>
    </row>
    <row r="140" customFormat="false" ht="33.75" hidden="false" customHeight="true" outlineLevel="0" collapsed="false">
      <c r="A140" s="6" t="s">
        <v>206</v>
      </c>
      <c r="B140" s="19" t="s">
        <v>753</v>
      </c>
      <c r="C140" s="7" t="s">
        <v>590</v>
      </c>
    </row>
    <row r="141" customFormat="false" ht="33.75" hidden="false" customHeight="true" outlineLevel="0" collapsed="false">
      <c r="A141" s="6" t="s">
        <v>206</v>
      </c>
      <c r="B141" s="19" t="s">
        <v>754</v>
      </c>
      <c r="C141" s="7" t="s">
        <v>882</v>
      </c>
    </row>
    <row r="142" customFormat="false" ht="33.75" hidden="false" customHeight="true" outlineLevel="0" collapsed="false">
      <c r="A142" s="6" t="s">
        <v>206</v>
      </c>
      <c r="B142" s="19" t="s">
        <v>756</v>
      </c>
      <c r="C142" s="7" t="s">
        <v>883</v>
      </c>
    </row>
    <row r="143" customFormat="false" ht="33.75" hidden="false" customHeight="true" outlineLevel="0" collapsed="false">
      <c r="A143" s="6" t="s">
        <v>206</v>
      </c>
      <c r="B143" s="19" t="s">
        <v>758</v>
      </c>
      <c r="C143" s="7" t="s">
        <v>884</v>
      </c>
    </row>
    <row r="144" customFormat="false" ht="33.75" hidden="false" customHeight="true" outlineLevel="0" collapsed="false">
      <c r="A144" s="6" t="s">
        <v>206</v>
      </c>
      <c r="B144" s="19" t="s">
        <v>760</v>
      </c>
      <c r="C144" s="7" t="s">
        <v>885</v>
      </c>
    </row>
    <row r="145" customFormat="false" ht="33.75" hidden="false" customHeight="true" outlineLevel="0" collapsed="false">
      <c r="A145" s="6" t="s">
        <v>206</v>
      </c>
      <c r="B145" s="19" t="s">
        <v>761</v>
      </c>
      <c r="C145" s="7" t="s">
        <v>410</v>
      </c>
    </row>
    <row r="146" customFormat="false" ht="33.75" hidden="false" customHeight="true" outlineLevel="0" collapsed="false">
      <c r="A146" s="6" t="s">
        <v>206</v>
      </c>
      <c r="B146" s="19" t="s">
        <v>762</v>
      </c>
      <c r="C146" s="7" t="s">
        <v>886</v>
      </c>
    </row>
    <row r="147" customFormat="false" ht="33.75" hidden="false" customHeight="true" outlineLevel="0" collapsed="false">
      <c r="A147" s="6" t="s">
        <v>206</v>
      </c>
      <c r="B147" s="19" t="s">
        <v>764</v>
      </c>
      <c r="C147" s="7" t="s">
        <v>887</v>
      </c>
    </row>
    <row r="148" customFormat="false" ht="33.75" hidden="false" customHeight="true" outlineLevel="0" collapsed="false">
      <c r="A148" s="6" t="s">
        <v>206</v>
      </c>
      <c r="B148" s="19" t="s">
        <v>766</v>
      </c>
      <c r="C148" s="7" t="s">
        <v>888</v>
      </c>
    </row>
    <row r="149" customFormat="false" ht="33.75" hidden="false" customHeight="true" outlineLevel="0" collapsed="false">
      <c r="A149" s="6" t="s">
        <v>206</v>
      </c>
      <c r="B149" s="19" t="s">
        <v>768</v>
      </c>
      <c r="C149" s="15" t="s">
        <v>889</v>
      </c>
    </row>
    <row r="150" customFormat="false" ht="33.75" hidden="false" customHeight="true" outlineLevel="0" collapsed="false">
      <c r="A150" s="6" t="s">
        <v>206</v>
      </c>
      <c r="B150" s="19" t="s">
        <v>770</v>
      </c>
      <c r="C150" s="15" t="s">
        <v>890</v>
      </c>
    </row>
    <row r="151" customFormat="false" ht="33.75" hidden="false" customHeight="true" outlineLevel="0" collapsed="false">
      <c r="A151" s="6" t="s">
        <v>206</v>
      </c>
      <c r="B151" s="19" t="s">
        <v>772</v>
      </c>
      <c r="C151" s="15" t="s">
        <v>891</v>
      </c>
    </row>
    <row r="152" customFormat="false" ht="33.75" hidden="false" customHeight="true" outlineLevel="0" collapsed="false">
      <c r="A152" s="6" t="s">
        <v>206</v>
      </c>
      <c r="B152" s="19" t="s">
        <v>774</v>
      </c>
      <c r="C152" s="15" t="s">
        <v>892</v>
      </c>
    </row>
    <row r="153" customFormat="false" ht="33.75" hidden="false" customHeight="true" outlineLevel="0" collapsed="false">
      <c r="A153" s="6" t="s">
        <v>206</v>
      </c>
      <c r="B153" s="19" t="s">
        <v>776</v>
      </c>
      <c r="C153" s="15" t="s">
        <v>893</v>
      </c>
    </row>
    <row r="154" customFormat="false" ht="33.75" hidden="false" customHeight="true" outlineLevel="0" collapsed="false">
      <c r="A154" s="6" t="s">
        <v>206</v>
      </c>
      <c r="B154" s="19" t="s">
        <v>778</v>
      </c>
      <c r="C154" s="7" t="s">
        <v>894</v>
      </c>
    </row>
    <row r="155" customFormat="false" ht="33.75" hidden="false" customHeight="true" outlineLevel="0" collapsed="false">
      <c r="A155" s="6" t="s">
        <v>206</v>
      </c>
      <c r="B155" s="19" t="s">
        <v>780</v>
      </c>
      <c r="C155" s="7" t="s">
        <v>895</v>
      </c>
    </row>
    <row r="156" customFormat="false" ht="33.75" hidden="false" customHeight="true" outlineLevel="0" collapsed="false">
      <c r="A156" s="6" t="s">
        <v>206</v>
      </c>
      <c r="B156" s="19" t="s">
        <v>782</v>
      </c>
      <c r="C156" s="7" t="s">
        <v>896</v>
      </c>
    </row>
    <row r="157" customFormat="false" ht="15" hidden="false" customHeight="true" outlineLevel="0" collapsed="false">
      <c r="A157" s="21" t="s">
        <v>897</v>
      </c>
      <c r="B157" s="21"/>
      <c r="C157" s="21"/>
    </row>
    <row r="158" customFormat="false" ht="33.75" hidden="false" customHeight="true" outlineLevel="0" collapsed="false">
      <c r="A158" s="6" t="s">
        <v>441</v>
      </c>
      <c r="B158" s="19" t="s">
        <v>751</v>
      </c>
      <c r="C158" s="7" t="s">
        <v>898</v>
      </c>
    </row>
    <row r="159" customFormat="false" ht="33.75" hidden="false" customHeight="true" outlineLevel="0" collapsed="false">
      <c r="A159" s="6" t="s">
        <v>441</v>
      </c>
      <c r="B159" s="19" t="s">
        <v>753</v>
      </c>
      <c r="C159" s="7" t="s">
        <v>595</v>
      </c>
    </row>
    <row r="160" customFormat="false" ht="33.75" hidden="false" customHeight="true" outlineLevel="0" collapsed="false">
      <c r="A160" s="6" t="s">
        <v>441</v>
      </c>
      <c r="B160" s="19" t="s">
        <v>754</v>
      </c>
      <c r="C160" s="7" t="s">
        <v>899</v>
      </c>
    </row>
    <row r="161" customFormat="false" ht="33.75" hidden="false" customHeight="true" outlineLevel="0" collapsed="false">
      <c r="A161" s="6" t="s">
        <v>441</v>
      </c>
      <c r="B161" s="19" t="s">
        <v>756</v>
      </c>
      <c r="C161" s="7" t="s">
        <v>900</v>
      </c>
    </row>
    <row r="162" customFormat="false" ht="33.75" hidden="false" customHeight="true" outlineLevel="0" collapsed="false">
      <c r="A162" s="6" t="s">
        <v>441</v>
      </c>
      <c r="B162" s="19" t="s">
        <v>758</v>
      </c>
      <c r="C162" s="7" t="s">
        <v>901</v>
      </c>
    </row>
    <row r="163" customFormat="false" ht="33.75" hidden="false" customHeight="true" outlineLevel="0" collapsed="false">
      <c r="A163" s="6" t="s">
        <v>441</v>
      </c>
      <c r="B163" s="19" t="s">
        <v>760</v>
      </c>
      <c r="C163" s="7" t="s">
        <v>440</v>
      </c>
    </row>
    <row r="164" customFormat="false" ht="33.75" hidden="false" customHeight="true" outlineLevel="0" collapsed="false">
      <c r="A164" s="6" t="s">
        <v>441</v>
      </c>
      <c r="B164" s="19" t="s">
        <v>761</v>
      </c>
      <c r="C164" s="7" t="s">
        <v>597</v>
      </c>
    </row>
    <row r="165" customFormat="false" ht="33.75" hidden="false" customHeight="true" outlineLevel="0" collapsed="false">
      <c r="A165" s="6" t="s">
        <v>441</v>
      </c>
      <c r="B165" s="19" t="s">
        <v>762</v>
      </c>
      <c r="C165" s="7" t="s">
        <v>902</v>
      </c>
    </row>
    <row r="166" customFormat="false" ht="33.75" hidden="false" customHeight="true" outlineLevel="0" collapsed="false">
      <c r="A166" s="6" t="s">
        <v>441</v>
      </c>
      <c r="B166" s="19" t="s">
        <v>764</v>
      </c>
      <c r="C166" s="7" t="s">
        <v>903</v>
      </c>
    </row>
    <row r="167" customFormat="false" ht="33.75" hidden="false" customHeight="true" outlineLevel="0" collapsed="false">
      <c r="A167" s="6" t="s">
        <v>441</v>
      </c>
      <c r="B167" s="19" t="s">
        <v>766</v>
      </c>
      <c r="C167" s="7" t="s">
        <v>904</v>
      </c>
    </row>
    <row r="168" customFormat="false" ht="33.75" hidden="false" customHeight="true" outlineLevel="0" collapsed="false">
      <c r="A168" s="6" t="s">
        <v>441</v>
      </c>
      <c r="B168" s="19" t="s">
        <v>768</v>
      </c>
      <c r="C168" s="15" t="s">
        <v>905</v>
      </c>
    </row>
    <row r="169" customFormat="false" ht="33.75" hidden="false" customHeight="true" outlineLevel="0" collapsed="false">
      <c r="A169" s="6" t="s">
        <v>441</v>
      </c>
      <c r="B169" s="19" t="s">
        <v>770</v>
      </c>
      <c r="C169" s="15" t="s">
        <v>906</v>
      </c>
    </row>
    <row r="170" customFormat="false" ht="33.75" hidden="false" customHeight="true" outlineLevel="0" collapsed="false">
      <c r="A170" s="6" t="s">
        <v>441</v>
      </c>
      <c r="B170" s="19" t="s">
        <v>772</v>
      </c>
      <c r="C170" s="15" t="s">
        <v>907</v>
      </c>
    </row>
    <row r="171" customFormat="false" ht="33.75" hidden="false" customHeight="true" outlineLevel="0" collapsed="false">
      <c r="A171" s="6" t="s">
        <v>441</v>
      </c>
      <c r="B171" s="19" t="s">
        <v>774</v>
      </c>
      <c r="C171" s="15" t="s">
        <v>908</v>
      </c>
    </row>
    <row r="172" customFormat="false" ht="33.75" hidden="false" customHeight="true" outlineLevel="0" collapsed="false">
      <c r="A172" s="6" t="s">
        <v>441</v>
      </c>
      <c r="B172" s="19" t="s">
        <v>776</v>
      </c>
      <c r="C172" s="15" t="s">
        <v>909</v>
      </c>
    </row>
    <row r="173" customFormat="false" ht="33.75" hidden="false" customHeight="true" outlineLevel="0" collapsed="false">
      <c r="A173" s="6" t="s">
        <v>441</v>
      </c>
      <c r="B173" s="19" t="s">
        <v>778</v>
      </c>
      <c r="C173" s="7" t="s">
        <v>910</v>
      </c>
    </row>
    <row r="174" customFormat="false" ht="33.75" hidden="false" customHeight="true" outlineLevel="0" collapsed="false">
      <c r="A174" s="6" t="s">
        <v>441</v>
      </c>
      <c r="B174" s="19" t="s">
        <v>780</v>
      </c>
      <c r="C174" s="7" t="s">
        <v>911</v>
      </c>
    </row>
    <row r="175" customFormat="false" ht="33.75" hidden="false" customHeight="true" outlineLevel="0" collapsed="false">
      <c r="A175" s="6" t="s">
        <v>441</v>
      </c>
      <c r="B175" s="19" t="s">
        <v>782</v>
      </c>
      <c r="C175" s="7" t="s">
        <v>912</v>
      </c>
    </row>
  </sheetData>
  <mergeCells count="9">
    <mergeCell ref="A5:C5"/>
    <mergeCell ref="A24:C24"/>
    <mergeCell ref="A43:C43"/>
    <mergeCell ref="A62:C62"/>
    <mergeCell ref="A81:C81"/>
    <mergeCell ref="A100:C100"/>
    <mergeCell ref="A119:C119"/>
    <mergeCell ref="A138:C138"/>
    <mergeCell ref="A157:C1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913</v>
      </c>
    </row>
    <row r="2" customFormat="false" ht="15" hidden="false" customHeight="false" outlineLevel="0" collapsed="false">
      <c r="A2" s="2" t="s">
        <v>914</v>
      </c>
    </row>
    <row r="4" customFormat="false" ht="15" hidden="false" customHeight="false" outlineLevel="0" collapsed="false">
      <c r="A4" s="8" t="s">
        <v>915</v>
      </c>
    </row>
    <row r="5" customFormat="false" ht="42" hidden="false" customHeight="true" outlineLevel="0" collapsed="false">
      <c r="A5" s="3" t="s">
        <v>916</v>
      </c>
      <c r="B5" s="3" t="s">
        <v>4</v>
      </c>
      <c r="C5" s="3" t="s">
        <v>917</v>
      </c>
    </row>
    <row r="6" customFormat="false" ht="15" hidden="false" customHeight="false" outlineLevel="0" collapsed="false">
      <c r="A6" s="19" t="s">
        <v>918</v>
      </c>
      <c r="B6" s="6" t="n">
        <f aca="false">COUNTA(04_สถานการณ์!A5:A58)</f>
        <v>54</v>
      </c>
      <c r="C6" s="7" t="s">
        <v>919</v>
      </c>
    </row>
    <row r="7" customFormat="false" ht="15" hidden="false" customHeight="false" outlineLevel="0" collapsed="false">
      <c r="A7" s="19" t="s">
        <v>920</v>
      </c>
      <c r="B7" s="6" t="n">
        <f aca="false">COUNTIF(04_สถานการณ์!L5:L58,"มีเครื่องมือหลัก")</f>
        <v>41</v>
      </c>
      <c r="C7" s="7" t="s">
        <v>921</v>
      </c>
    </row>
    <row r="8" customFormat="false" ht="15" hidden="false" customHeight="false" outlineLevel="0" collapsed="false">
      <c r="A8" s="19" t="s">
        <v>922</v>
      </c>
      <c r="B8" s="6" t="n">
        <f aca="false">COUNTIF(04_สถานการณ์!L5:L58,"มีเฉพาะเครื่องมือเสริม")</f>
        <v>10</v>
      </c>
      <c r="C8" s="7" t="s">
        <v>923</v>
      </c>
    </row>
    <row r="9" customFormat="false" ht="15" hidden="false" customHeight="false" outlineLevel="0" collapsed="false">
      <c r="A9" s="19" t="s">
        <v>924</v>
      </c>
      <c r="B9" s="6" t="n">
        <f aca="false">COUNTIF(04_สถานการณ์!L5:L58,"ไม่มีเครื่องมือในคลัง")</f>
        <v>3</v>
      </c>
      <c r="C9" s="7" t="s">
        <v>650</v>
      </c>
    </row>
    <row r="10" customFormat="false" ht="15" hidden="false" customHeight="false" outlineLevel="0" collapsed="false">
      <c r="A10" s="19" t="s">
        <v>925</v>
      </c>
      <c r="B10" s="6" t="n">
        <f aca="false">25</f>
        <v>25</v>
      </c>
      <c r="C10" s="7" t="s">
        <v>926</v>
      </c>
    </row>
    <row r="11" customFormat="false" ht="23.85" hidden="false" customHeight="false" outlineLevel="0" collapsed="false">
      <c r="A11" s="19" t="s">
        <v>927</v>
      </c>
      <c r="B11" s="6" t="n">
        <f aca="false">18</f>
        <v>18</v>
      </c>
      <c r="C11" s="7" t="s">
        <v>928</v>
      </c>
    </row>
    <row r="12" customFormat="false" ht="15" hidden="false" customHeight="false" outlineLevel="0" collapsed="false">
      <c r="A12" s="19" t="s">
        <v>929</v>
      </c>
      <c r="B12" s="6" t="n">
        <f aca="false">16</f>
        <v>16</v>
      </c>
      <c r="C12" s="7" t="s">
        <v>930</v>
      </c>
    </row>
    <row r="13" customFormat="false" ht="15" hidden="false" customHeight="false" outlineLevel="0" collapsed="false">
      <c r="A13" s="19" t="s">
        <v>931</v>
      </c>
      <c r="B13" s="6" t="n">
        <f aca="false">9</f>
        <v>9</v>
      </c>
      <c r="C13" s="7" t="s">
        <v>932</v>
      </c>
    </row>
    <row r="16" customFormat="false" ht="15" hidden="false" customHeight="false" outlineLevel="0" collapsed="false">
      <c r="A16" s="8" t="s">
        <v>933</v>
      </c>
    </row>
    <row r="17" customFormat="false" ht="42" hidden="false" customHeight="true" outlineLevel="0" collapsed="false">
      <c r="A17" s="3" t="s">
        <v>934</v>
      </c>
      <c r="B17" s="3" t="s">
        <v>935</v>
      </c>
      <c r="C17" s="3" t="s">
        <v>936</v>
      </c>
      <c r="D17" s="3" t="s">
        <v>937</v>
      </c>
    </row>
    <row r="18" customFormat="false" ht="15" hidden="false" customHeight="false" outlineLevel="0" collapsed="false">
      <c r="A18" s="19" t="s">
        <v>938</v>
      </c>
      <c r="B18" s="6" t="s">
        <v>175</v>
      </c>
      <c r="C18" s="7" t="s">
        <v>939</v>
      </c>
      <c r="D18" s="12" t="s">
        <v>940</v>
      </c>
    </row>
    <row r="19" customFormat="false" ht="15" hidden="false" customHeight="false" outlineLevel="0" collapsed="false">
      <c r="A19" s="19" t="s">
        <v>941</v>
      </c>
      <c r="B19" s="6" t="s">
        <v>187</v>
      </c>
      <c r="C19" s="7" t="s">
        <v>942</v>
      </c>
      <c r="D19" s="12" t="s">
        <v>940</v>
      </c>
    </row>
    <row r="20" customFormat="false" ht="15" hidden="false" customHeight="false" outlineLevel="0" collapsed="false">
      <c r="A20" s="19" t="s">
        <v>943</v>
      </c>
      <c r="B20" s="6" t="s">
        <v>193</v>
      </c>
      <c r="C20" s="7" t="s">
        <v>944</v>
      </c>
      <c r="D20" s="12" t="s">
        <v>940</v>
      </c>
    </row>
    <row r="21" customFormat="false" ht="15" hidden="false" customHeight="false" outlineLevel="0" collapsed="false">
      <c r="A21" s="19" t="s">
        <v>945</v>
      </c>
      <c r="B21" s="6" t="s">
        <v>441</v>
      </c>
      <c r="C21" s="7" t="s">
        <v>946</v>
      </c>
      <c r="D21" s="12" t="s">
        <v>940</v>
      </c>
    </row>
    <row r="22" customFormat="false" ht="15" hidden="false" customHeight="false" outlineLevel="0" collapsed="false">
      <c r="A22" s="19" t="s">
        <v>947</v>
      </c>
      <c r="B22" s="6" t="s">
        <v>152</v>
      </c>
      <c r="C22" s="7" t="s">
        <v>948</v>
      </c>
      <c r="D22" s="17" t="s">
        <v>949</v>
      </c>
    </row>
    <row r="23" customFormat="false" ht="15" hidden="false" customHeight="false" outlineLevel="0" collapsed="false">
      <c r="A23" s="19" t="s">
        <v>950</v>
      </c>
      <c r="B23" s="6" t="s">
        <v>193</v>
      </c>
      <c r="C23" s="7" t="s">
        <v>951</v>
      </c>
      <c r="D23" s="17" t="s">
        <v>949</v>
      </c>
    </row>
    <row r="24" customFormat="false" ht="15" hidden="false" customHeight="false" outlineLevel="0" collapsed="false">
      <c r="A24" s="19" t="s">
        <v>952</v>
      </c>
      <c r="B24" s="6" t="s">
        <v>170</v>
      </c>
      <c r="C24" s="7" t="s">
        <v>953</v>
      </c>
      <c r="D24" s="17" t="s">
        <v>949</v>
      </c>
    </row>
    <row r="25" customFormat="false" ht="15" hidden="false" customHeight="false" outlineLevel="0" collapsed="false">
      <c r="A25" s="19" t="s">
        <v>954</v>
      </c>
      <c r="B25" s="6" t="s">
        <v>193</v>
      </c>
      <c r="C25" s="7" t="s">
        <v>955</v>
      </c>
      <c r="D25" s="17" t="s">
        <v>949</v>
      </c>
    </row>
    <row r="26" customFormat="false" ht="15" hidden="false" customHeight="false" outlineLevel="0" collapsed="false">
      <c r="A26" s="19" t="s">
        <v>956</v>
      </c>
      <c r="B26" s="6" t="s">
        <v>301</v>
      </c>
      <c r="C26" s="7" t="s">
        <v>957</v>
      </c>
      <c r="D26" s="17" t="s">
        <v>949</v>
      </c>
    </row>
    <row r="27" customFormat="false" ht="15" hidden="false" customHeight="false" outlineLevel="0" collapsed="false">
      <c r="A27" s="19" t="s">
        <v>958</v>
      </c>
      <c r="B27" s="6" t="s">
        <v>315</v>
      </c>
      <c r="C27" s="7" t="s">
        <v>959</v>
      </c>
      <c r="D27" s="12" t="s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44"/>
  </cols>
  <sheetData>
    <row r="1" customFormat="false" ht="17.9" hidden="false" customHeight="false" outlineLevel="0" collapsed="false">
      <c r="A1" s="1" t="s">
        <v>960</v>
      </c>
    </row>
    <row r="2" customFormat="false" ht="15" hidden="false" customHeight="false" outlineLevel="0" collapsed="false">
      <c r="A2" s="2" t="s">
        <v>961</v>
      </c>
    </row>
    <row r="4" customFormat="false" ht="42" hidden="false" customHeight="true" outlineLevel="0" collapsed="false">
      <c r="A4" s="3" t="s">
        <v>213</v>
      </c>
      <c r="B4" s="3" t="s">
        <v>962</v>
      </c>
      <c r="C4" s="3" t="s">
        <v>963</v>
      </c>
      <c r="D4" s="3" t="s">
        <v>964</v>
      </c>
    </row>
    <row r="5" customFormat="false" ht="39.75" hidden="false" customHeight="true" outlineLevel="0" collapsed="false">
      <c r="A5" s="12" t="s">
        <v>965</v>
      </c>
      <c r="B5" s="19" t="s">
        <v>966</v>
      </c>
      <c r="C5" s="7" t="s">
        <v>967</v>
      </c>
      <c r="D5" s="7" t="s">
        <v>968</v>
      </c>
    </row>
    <row r="6" customFormat="false" ht="39.75" hidden="false" customHeight="true" outlineLevel="0" collapsed="false">
      <c r="A6" s="12" t="s">
        <v>965</v>
      </c>
      <c r="B6" s="19" t="s">
        <v>969</v>
      </c>
      <c r="C6" s="7" t="s">
        <v>970</v>
      </c>
      <c r="D6" s="7" t="s">
        <v>971</v>
      </c>
    </row>
    <row r="7" customFormat="false" ht="39.75" hidden="false" customHeight="true" outlineLevel="0" collapsed="false">
      <c r="A7" s="12" t="s">
        <v>965</v>
      </c>
      <c r="B7" s="19" t="s">
        <v>972</v>
      </c>
      <c r="C7" s="7" t="s">
        <v>973</v>
      </c>
      <c r="D7" s="7" t="s">
        <v>974</v>
      </c>
    </row>
    <row r="8" customFormat="false" ht="39.75" hidden="false" customHeight="true" outlineLevel="0" collapsed="false">
      <c r="A8" s="12" t="s">
        <v>965</v>
      </c>
      <c r="B8" s="19" t="s">
        <v>975</v>
      </c>
      <c r="C8" s="7" t="s">
        <v>976</v>
      </c>
      <c r="D8" s="7" t="s">
        <v>977</v>
      </c>
    </row>
    <row r="9" customFormat="false" ht="39.75" hidden="false" customHeight="true" outlineLevel="0" collapsed="false">
      <c r="A9" s="17" t="s">
        <v>978</v>
      </c>
      <c r="B9" s="19" t="s">
        <v>979</v>
      </c>
      <c r="C9" s="7" t="s">
        <v>980</v>
      </c>
      <c r="D9" s="7" t="s">
        <v>981</v>
      </c>
    </row>
    <row r="10" customFormat="false" ht="39.75" hidden="false" customHeight="true" outlineLevel="0" collapsed="false">
      <c r="A10" s="17" t="s">
        <v>978</v>
      </c>
      <c r="B10" s="19" t="s">
        <v>982</v>
      </c>
      <c r="C10" s="7" t="s">
        <v>983</v>
      </c>
      <c r="D10" s="7" t="s">
        <v>984</v>
      </c>
    </row>
    <row r="11" customFormat="false" ht="39.75" hidden="false" customHeight="true" outlineLevel="0" collapsed="false">
      <c r="A11" s="17" t="s">
        <v>978</v>
      </c>
      <c r="B11" s="19" t="s">
        <v>985</v>
      </c>
      <c r="C11" s="7" t="s">
        <v>986</v>
      </c>
      <c r="D11" s="7" t="s">
        <v>987</v>
      </c>
    </row>
    <row r="12" customFormat="false" ht="39.75" hidden="false" customHeight="true" outlineLevel="0" collapsed="false">
      <c r="A12" s="17" t="s">
        <v>978</v>
      </c>
      <c r="B12" s="19" t="s">
        <v>988</v>
      </c>
      <c r="C12" s="7" t="s">
        <v>181</v>
      </c>
      <c r="D12" s="7" t="s">
        <v>989</v>
      </c>
    </row>
    <row r="13" customFormat="false" ht="39.75" hidden="false" customHeight="true" outlineLevel="0" collapsed="false">
      <c r="A13" s="16" t="s">
        <v>990</v>
      </c>
      <c r="B13" s="19" t="s">
        <v>991</v>
      </c>
      <c r="C13" s="7" t="s">
        <v>992</v>
      </c>
      <c r="D13" s="7" t="s">
        <v>993</v>
      </c>
    </row>
    <row r="14" customFormat="false" ht="39.75" hidden="false" customHeight="true" outlineLevel="0" collapsed="false">
      <c r="A14" s="16" t="s">
        <v>990</v>
      </c>
      <c r="B14" s="19" t="s">
        <v>994</v>
      </c>
      <c r="C14" s="7" t="s">
        <v>995</v>
      </c>
      <c r="D14" s="7" t="s">
        <v>996</v>
      </c>
    </row>
    <row r="15" customFormat="false" ht="39.75" hidden="false" customHeight="true" outlineLevel="0" collapsed="false">
      <c r="A15" s="16" t="s">
        <v>990</v>
      </c>
      <c r="B15" s="19" t="s">
        <v>997</v>
      </c>
      <c r="C15" s="7" t="s">
        <v>998</v>
      </c>
      <c r="D15" s="7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2026-09-18T18:03:25Z</dcterms:created>
  <dc:creator>openpyxl</dc:creator>
  <dc:description/>
  <dc:language>en-US</dc:language>
  <cp:lastModifiedBy/>
  <dcterms:modified xsi:type="dcterms:W3CDTF">2026-09-18T18:03:26Z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